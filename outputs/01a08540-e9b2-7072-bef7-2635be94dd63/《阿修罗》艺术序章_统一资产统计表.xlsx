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25a1a1a1d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统计表" sheetId="1" r:id="Rcc6452e6080d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sz val="10"/>
      <x:color rgb="FF222222"/>
      <x:name val="Arial"/>
    </x:font>
    <x:font>
      <x:b/>
      <x:sz val="16"/>
      <x:color rgb="FF1F4E78"/>
      <x:name val="Arial"/>
    </x:font>
    <x:font>
      <x:b/>
      <x:sz val="10"/>
      <x:color rgb="FF365F91"/>
      <x:name val="Arial"/>
    </x:font>
    <x:font>
      <x:i/>
      <x:sz val="10"/>
      <x:color rgb="FF404040"/>
      <x:name val="Arial"/>
    </x:font>
    <x:font>
      <x:b/>
      <x:sz val="10"/>
      <x:color rgb="FF1F4E78"/>
      <x:name val="Arial"/>
    </x:font>
    <x:font>
      <x:b/>
      <x:sz val="11"/>
      <x:color rgb="FF1F1F1F"/>
      <x:name val="Arial"/>
    </x:font>
    <x:font>
      <x:b/>
      <x:sz val="9"/>
      <x:color rgb="FF666666"/>
      <x:name val="Arial"/>
    </x:font>
    <x:font>
      <x:i/>
      <x:sz val="9"/>
      <x:color rgb="FF666666"/>
      <x:name val="Arial"/>
    </x:font>
    <x:font>
      <x:sz val="9"/>
      <x:color rgb="FF333333"/>
      <x:name val="Arial"/>
    </x:font>
    <x:font>
      <x:sz val="9"/>
      <x:color rgb="FF7F6000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9E8"/>
      </x:patternFill>
    </x:fill>
  </x:fills>
  <x:borders count="6">
    <x:border/>
    <x:border>
      <x:bottom style="thin">
        <x:color rgb="FF4F81B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6E6E6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6" fillId="3" borderId="0" xfId="0" applyNumberFormat="1" applyFont="1" applyFill="1" applyBorder="1" applyAlignment="1">
      <x:alignment horizontal="center"/>
    </x:xf>
    <x:xf numFmtId="200" fontId="6" fillId="3" borderId="0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vertical="center"/>
    </x:xf>
    <x:xf numFmtId="200" fontId="6" fillId="3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10" fillId="5" borderId="3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4" xfId="0" applyNumberFormat="1" applyFont="1" applyFill="1" applyBorder="1"/>
    <x:xf numFmtId="0" fontId="11" fillId="6" borderId="4" xfId="0" applyNumberFormat="1" applyFont="1" applyFill="1" applyBorder="1" applyAlignment="1">
      <x:alignment wrapText="1"/>
    </x:xf>
    <x:xf numFmtId="0" fontId="11" fillId="6" borderId="4" xfId="0" applyNumberFormat="1" applyFont="1" applyFill="1" applyBorder="1" applyAlignment="1">
      <x:alignment horizont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7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f2594445e4192" /><Relationship Type="http://schemas.openxmlformats.org/officeDocument/2006/relationships/theme" Target="/xl/theme/theme1.xml" Id="R7fe20f526ebb4028" /><Relationship Type="http://schemas.openxmlformats.org/officeDocument/2006/relationships/sharedStrings" Target="/xl/sharedStrings.xml" Id="R94124b59fd154949" /><Relationship Type="http://schemas.openxmlformats.org/officeDocument/2006/relationships/worksheet" Target="/xl/worksheets/sheet1.xml" Id="Rcc6452e6080d4be4" /></Relationships>
</file>

<file path=xl/tables/table1.xml><?xml version="1.0" encoding="utf-8"?>
<x:table xmlns:x="http://schemas.openxmlformats.org/spreadsheetml/2006/main" id="1" name="AssetStatsTable" displayName="AssetStatsTable" ref="A14:G86" headerRowCount="1" totalsRowCount="0" totalsRowShown="0">
  <x:autoFilter ref="A14:G86"/>
  <x:tableColumns count="7">
    <x:tableColumn id="1" name="资产ID"/>
    <x:tableColumn id="2" name="资产名称"/>
    <x:tableColumn id="3" name="资产类别"/>
    <x:tableColumn id="4" name="剧本出处或相关范围"/>
    <x:tableColumn id="5" name="剧本已知信息"/>
    <x:tableColumn id="6" name="资产身份关系"/>
    <x:tableColumn id="7" name="信息缺口与制作前确认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ddb4b0b839476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14" topLeftCell="D15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0" hidden="0" customWidth="1"/>
    <x:col min="4" max="4" width="25" hidden="0" customWidth="1"/>
    <x:col min="5" max="5" width="44" hidden="0" customWidth="1"/>
    <x:col min="6" max="6" width="38" hidden="0" customWidth="1"/>
    <x:col min="7" max="7" width="48" hidden="0" customWidth="1"/>
  </x:cols>
  <x:sheetData>
    <x:row r="1" ht="8" customHeight="1"/>
    <x:row r="2" ht="30" customHeight="1">
      <x:c r="A2" s="4" t="str">
        <x:v>《阿修罗》艺术序章 统一资产统计表</x:v>
      </x:c>
      <x:c r="B2" s="2"/>
      <x:c r="C2" s="2"/>
      <x:c r="D2" s="2"/>
      <x:c r="E2" s="2"/>
      <x:c r="F2" s="2"/>
      <x:c r="G2" s="2"/>
    </x:row>
    <x:row r="3" ht="6" customHeight="1">
      <x:c r="A3" s="3"/>
      <x:c r="B3" s="3"/>
      <x:c r="C3" s="3"/>
      <x:c r="D3" s="3"/>
      <x:c r="E3" s="3"/>
      <x:c r="F3" s="3"/>
      <x:c r="G3" s="3"/>
    </x:row>
    <x:row r="4" ht="22" customHeight="1">
      <x:c r="A4" s="5" t="str">
        <x:v>采用剧本</x:v>
      </x:c>
      <x:c r="B4" s="6" t="str">
        <x:v>《阿修罗》艺术序章_导演整合修订版.docx</x:v>
      </x:c>
      <x:c r="C4" s="2"/>
      <x:c r="D4" s="2"/>
      <x:c r="E4" s="2"/>
      <x:c r="F4" s="2"/>
      <x:c r="G4" s="2"/>
    </x:row>
    <x:row r="5" ht="22" customHeight="1">
      <x:c r="A5" s="5" t="str">
        <x:v>拆解范围</x:v>
      </x:c>
      <x:c r="B5" s="6" t="str">
        <x:v>完整文档，镜头01-30，总时长214秒；当前输出为完整范围</x:v>
      </x:c>
      <x:c r="C5" s="2"/>
      <x:c r="D5" s="2"/>
      <x:c r="E5" s="2"/>
      <x:c r="F5" s="2"/>
      <x:c r="G5" s="2"/>
    </x:row>
    <x:row r="6" ht="24" customHeight="1">
      <x:c r="A6" s="15" t="str">
        <x:v>资产总数</x:v>
      </x:c>
      <x:c r="B6" s="16" t="n">
        <x:f>COUNTA($A$15:$A$86)</x:f>
        <x:v>72</x:v>
      </x:c>
      <x:c r="C6" s="15" t="str">
        <x:v>人物</x:v>
      </x:c>
      <x:c r="D6" s="16" t="n">
        <x:f>COUNTIF($C$15:$C$86,"人物-基础身份")+COUNTIF($C$15:$C$86,"人物-稳定轮回变体")+COUNTIF($C$15:$C$86,"人物-辅助身份")</x:f>
        <x:v>15</x:v>
      </x:c>
      <x:c r="E6" s="15" t="str">
        <x:v>人物群组</x:v>
      </x:c>
      <x:c r="F6" s="16" t="n">
        <x:f>COUNTIF($C$15:$C$86,"人物群组")</x:f>
        <x:v>4</x:v>
      </x:c>
      <x:c r="G6" s="2"/>
    </x:row>
    <x:row r="7" ht="24" customHeight="1">
      <x:c r="A7" s="15" t="str">
        <x:v>场景及场景组成</x:v>
      </x:c>
      <x:c r="B7" s="16" t="n">
        <x:f>COUNTIF($C$15:$C$86,"场景-组合对象")+COUNTIF($C$15:$C$86,"场景-组成对象")+COUNTIF($C$15:$C$86,"场景")+COUNTIF($C$15:$C$86,"场景组成-植物")</x:f>
        <x:v>12</x:v>
      </x:c>
      <x:c r="C7" s="15" t="str">
        <x:v>道具</x:v>
      </x:c>
      <x:c r="D7" s="16" t="n">
        <x:f>COUNTIF($C$15:$C$86,"道具-基础对象")+COUNTIF($C$15:$C$86,"道具-组合对象")+COUNTIF($C$15:$C$86,"道具-稳定母题对象")+COUNTIF($C$15:$C$86,"道具")+COUNTIF($C$15:$C$86,"道具-场景主体")</x:f>
        <x:v>10</x:v>
      </x:c>
      <x:c r="E7" s="15" t="str">
        <x:v>图文资产</x:v>
      </x:c>
      <x:c r="F7" s="16" t="n">
        <x:f>COUNTIF($C$15:$C$86,"图文资产")</x:f>
        <x:v>1</x:v>
      </x:c>
      <x:c r="G7" s="2"/>
    </x:row>
    <x:row r="8" ht="24" customHeight="1">
      <x:c r="A8" s="15" t="str">
        <x:v>VFX</x:v>
      </x:c>
      <x:c r="B8" s="16" t="n">
        <x:f>COUNTIF($C$15:$C$86,"VFX-独立视觉对象")+COUNTIF($C$15:$C$86,"VFX-稳定视觉母题")+COUNTIF($C$15:$C$86,"VFX-组合效果")+COUNTIF($C$15:$C$86,"VFX")+COUNTIF($C$15:$C$86,"VFX-环境层")+COUNTIF($C$15:$C$86,"VFX-稳定环境效果")</x:f>
        <x:v>7</x:v>
      </x:c>
      <x:c r="C8" s="15" t="str">
        <x:v>声音</x:v>
      </x:c>
      <x:c r="D8" s="16" t="n">
        <x:f>COUNTIF($C$15:$C$86,"声音-角色声音")+COUNTIF($C$15:$C$86,"声音-群体声音")+COUNTIF($C$15:$C$86,"声音-核心母题")+COUNTIF($C$15:$C$86,"声音-角色动作")+COUNTIF($C$15:$C$86,"声音-群体动作")+COUNTIF($C$15:$C$86,"声音-材质动作")+COUNTIF($C$15:$C$86,"声音-因果母题")+COUNTIF($C$15:$C$86,"声音-环境")+COUNTIF($C$15:$C$86,"声音-单次动作")+COUNTIF($C$15:$C$86,"声音-音乐片段")+COUNTIF($C$15:$C$86,"声音-环境音乐")+COUNTIF($C$15:$C$86,"声音-因果动作")+COUNTIF($C$15:$C$86,"声音-音乐动作")+COUNTIF($C$15:$C$86,"声音-组合效果")+COUNTIF($C$15:$C$86,"声音-环境动作")+COUNTIF($C$15:$C$86,"声音-转折辅助")</x:f>
        <x:v>23</x:v>
      </x:c>
      <x:c r="E8" s="15" t="str">
        <x:v>待确认问题</x:v>
      </x:c>
      <x:c r="F8" s="16" t="n">
        <x:v>4</x:v>
      </x:c>
      <x:c r="G8" s="2"/>
    </x:row>
    <x:row r="9" ht="22" customHeight="1">
      <x:c r="A9" s="17" t="str">
        <x:v>资产ID说明</x:v>
      </x:c>
      <x:c r="B9" s="18" t="str">
        <x:v>资产ID仅表示本项目对象身份，不表示资产已经完成生产、正式登记或可以调用。</x:v>
      </x:c>
      <x:c r="C9" s="2"/>
      <x:c r="D9" s="2"/>
      <x:c r="E9" s="2"/>
      <x:c r="F9" s="2"/>
      <x:c r="G9" s="2"/>
    </x:row>
    <x:row r="10" ht="8" customHeight="1">
      <x:c r="A10" s="2"/>
      <x:c r="B10" s="2"/>
      <x:c r="C10" s="2"/>
      <x:c r="D10" s="2"/>
      <x:c r="E10" s="2"/>
      <x:c r="F10" s="2"/>
      <x:c r="G10" s="2"/>
    </x:row>
    <x:row r="11" ht="58" customHeight="1">
      <x:c r="A11" s="30" t="str">
        <x:v>全局制作控制</x:v>
      </x:c>
      <x:c r="B11" s="31" t="str">
        <x:v>视觉以近黑、深灰、浅灰与白为主，真实材质仅保留极弱自然色，青绿落叶为唯一明确生命色。客观镜头保持佛国同一空间轴线；轮回身份保持同一演员的眼型、眉骨、唇形和面部比例。佛国长镜头可分层制作，不使用宇宙眼、神光或逐一实体化五百罗汉，不以裸露伤害和血腥强制高潮。</x:v>
      </x:c>
      <x:c r="C11" s="31"/>
      <x:c r="D11" s="31"/>
      <x:c r="E11" s="31"/>
      <x:c r="F11" s="31"/>
      <x:c r="G11" s="31"/>
    </x:row>
    <x:row r="12" ht="82" customHeight="1">
      <x:c r="A12" s="30" t="str">
        <x:v>制作前共通确认</x:v>
      </x:c>
      <x:c r="B12" s="32" t="str">
        <x:v>1）最终画幅比例未提供；项目锁定卡缺失会影响所有场景构图、群像横向分布、片名安全区与VFX分层尺寸。  2）历史轮回只给出王府、宫廷、流放等叙事类型，未给出各世朝代、地域和文化考据；不能据此把真实历史女性简化为统一妒恨符号。  3）‘她曾经想留住的人被带向门外’没有说明带走动作执行者是否入镜、由几人完成或仅由画外力量表达。  4）剧本没有明确毒酒报复女子与宫门反噬女子是否属于同一世、同一角色状态。当前按不同轮回情绪功能分别建立CHR-005与CHR-015，避免无依据合并。</x:v>
      </x:c>
      <x:c r="C12" s="32"/>
      <x:c r="D12" s="32"/>
      <x:c r="E12" s="32"/>
      <x:c r="F12" s="32"/>
      <x:c r="G12" s="32"/>
    </x:row>
    <x:row r="13" ht="8" customHeight="1">
      <x:c r="A13" s="2"/>
      <x:c r="B13" s="2"/>
      <x:c r="C13" s="2"/>
      <x:c r="D13" s="2"/>
      <x:c r="E13" s="2"/>
      <x:c r="F13" s="2"/>
      <x:c r="G13" s="2"/>
    </x:row>
    <x:row r="14" ht="36" customHeight="1">
      <x:c r="A14" s="38" t="str">
        <x:v>资产ID</x:v>
      </x:c>
      <x:c r="B14" s="38" t="str">
        <x:v>资产名称</x:v>
      </x:c>
      <x:c r="C14" s="38" t="str">
        <x:v>资产类别</x:v>
      </x:c>
      <x:c r="D14" s="38" t="str">
        <x:v>剧本出处或相关范围</x:v>
      </x:c>
      <x:c r="E14" s="38" t="str">
        <x:v>剧本已知信息</x:v>
      </x:c>
      <x:c r="F14" s="38" t="str">
        <x:v>资产身份关系</x:v>
      </x:c>
      <x:c r="G14" s="38" t="str">
        <x:v>信息缺口与制作前确认事项</x:v>
      </x:c>
    </x:row>
    <x:row r="15" ht="60" hidden="0" customHeight="1">
      <x:c r="A15" s="40" t="str">
        <x:v>CHR-001</x:v>
      </x:c>
      <x:c r="B15" s="41" t="str">
        <x:v>女主（佛国修行者／阿修罗）</x:v>
      </x:c>
      <x:c r="C15" s="42" t="str">
        <x:v>人物-基础身份</x:v>
      </x:c>
      <x:c r="D15" s="41" t="str">
        <x:v>最终命题与导演总控；镜头03-05、08-10、12-13、15、17-19、29-30；轮回连续性规则</x:v>
      </x:c>
      <x:c r="E15" s="41" t="str">
        <x:v>佛国修行群体中的女性，最初衣色、姿态、呼吸与众人几乎一致；位于殿内偏后、光柱边缘；以眼型、眉骨、唇形和面部比例作为全部轮回身份的同一性基准；镜头29回到最初那张脸，镜头30自称阿修罗；佛国段不落泪，只保留眼中湿润反光</x:v>
      </x:c>
      <x:c r="F15" s="41" t="str">
        <x:v>CHR-002至CHR-009及CHR-015均为其历史轮回稳定变体；专属持有PRP-001女主灰白念珠；镜头29承接PRP-003青绿落叶</x:v>
      </x:c>
      <x:c r="G15" s="43" t="str">
        <x:v>本名在片尾前不公开；佛国身份的具体年龄、发式、服装层级、身形与寺院文化年代未明确</x:v>
      </x:c>
    </x:row>
    <x:row r="16" ht="48" hidden="0" customHeight="1">
      <x:c r="A16" s="40" t="str">
        <x:v>CHR-002</x:v>
      </x:c>
      <x:c r="B16" s="41" t="str">
        <x:v>王府少女（被看见至得到爱）</x:v>
      </x:c>
      <x:c r="C16" s="42" t="str">
        <x:v>人物-稳定轮回变体</x:v>
      </x:c>
      <x:c r="D16" s="41" t="str">
        <x:v>镜头20尾部、21-22；轮回连续性规则</x:v>
      </x:c>
      <x:c r="E16" s="41" t="str">
        <x:v>低饱和王府深院中站在人群边缘；被一道越过众人的目光看见并短暂重现佛国安宁；灯下与一双手相握并依偎人影，获得真实安稳；脸部结构必须与CHR-001一致，可改变年龄、发式、妆容和身份</x:v>
      </x:c>
      <x:c r="F16" s="41" t="str">
        <x:v>CHR-001的轮回稳定变体；镜头20由PRP-003落叶影子接入其伸出的手；与CHR-011形成镜头22的相握组合</x:v>
      </x:c>
      <x:c r="G16" s="43" t="str">
        <x:v>具体朝代、年龄、王府内身份、服装发式和目光来源是否即CHR-011未明确</x:v>
      </x:c>
    </x:row>
    <x:row r="17" ht="36" hidden="0" customHeight="1">
      <x:c r="A17" s="40" t="str">
        <x:v>CHR-003</x:v>
      </x:c>
      <x:c r="B17" s="41" t="str">
        <x:v>帘后女子（被取代至妒恨）</x:v>
      </x:c>
      <x:c r="C17" s="42" t="str">
        <x:v>人物-稳定轮回变体</x:v>
      </x:c>
      <x:c r="D17" s="41" t="str">
        <x:v>镜头23-24；轮回连续性规则</x:v>
      </x:c>
      <x:c r="E17" s="41" t="str">
        <x:v>在另一个时代隔着帘影看见发簪被递给另一名女子；不哭泣，安稳转为不再是唯一；随后把发簪握入掌心，指节发白，期待变为计算；脸部结构与CHR-001一致</x:v>
      </x:c>
      <x:c r="F17" s="41" t="str">
        <x:v>CHR-001的轮回稳定变体；与PRP-004发簪形成被取代与妒恨的连续动作；与CHR-012、CHR-013构成赠簪目击关系</x:v>
      </x:c>
      <x:c r="G17" s="43" t="str">
        <x:v>具体时代、身份、年龄、妆发服装及她如何获得发簪未明确</x:v>
      </x:c>
    </x:row>
    <x:row r="18" ht="36" hidden="0" customHeight="1">
      <x:c r="A18" s="40" t="str">
        <x:v>CHR-004</x:v>
      </x:c>
      <x:c r="B18" s="41" t="str">
        <x:v>宫廷掌权女子（高位至落印报复）</x:v>
      </x:c>
      <x:c r="C18" s="42" t="str">
        <x:v>人物-稳定轮回变体</x:v>
      </x:c>
      <x:c r="D18" s="41" t="str">
        <x:v>镜头25、镜头26前半；轮回连续性规则</x:v>
      </x:c>
      <x:c r="E18" s="41" t="str">
        <x:v>坐在宫廷垂帘后的万人俯首高位；拥有权力仍寻找只属于自己的目光；冷静在处置诏书上落印，无愤怒表情；脸部结构与CHR-001一致</x:v>
      </x:c>
      <x:c r="F18" s="41" t="str">
        <x:v>CHR-001的轮回稳定变体；持有PRP-005印章并操作PRP-006处置诏书；与GRP-003宫廷俯首群臣形成权力关系</x:v>
      </x:c>
      <x:c r="G18" s="43" t="str">
        <x:v>具体朝代、权位身份、年龄、服饰冠发与诏书处置对象未明确</x:v>
      </x:c>
    </x:row>
    <x:row r="19" ht="36" hidden="0" customHeight="1">
      <x:c r="A19" s="40" t="str">
        <x:v>CHR-005</x:v>
      </x:c>
      <x:c r="B19" s="41" t="str">
        <x:v>毒酒报复女子</x:v>
      </x:c>
      <x:c r="C19" s="42" t="str">
        <x:v>人物-稳定轮回变体</x:v>
      </x:c>
      <x:c r="D19" s="41" t="str">
        <x:v>镜头26后半；轮回连续性规则</x:v>
      </x:c>
      <x:c r="E19" s="41" t="str">
        <x:v>镜头26由落印动作匹配切到另一世，将一杯酒推向画外；没有愤怒表情，也不展示受害者，只让决定发生；脸部结构与CHR-001一致</x:v>
      </x:c>
      <x:c r="F19" s="41" t="str">
        <x:v>CHR-001的轮回稳定变体；操作PRP-007毒酒酒杯</x:v>
      </x:c>
      <x:c r="G19" s="43" t="str">
        <x:v>具体时代、身份、妆发服装和毒酒受害对象未明确；与CHR-015是否同一世需用户确认</x:v>
      </x:c>
    </x:row>
    <x:row r="20" ht="36" hidden="0" customHeight="1">
      <x:c r="A20" s="40" t="str">
        <x:v>CHR-006</x:v>
      </x:c>
      <x:c r="B20" s="41" t="str">
        <x:v>白绫死亡前女子</x:v>
      </x:c>
      <x:c r="C20" s="42" t="str">
        <x:v>人物-稳定轮回变体</x:v>
      </x:c>
      <x:c r="D20" s="41" t="str">
        <x:v>镜头28</x:v>
      </x:c>
      <x:c r="E20" s="41" t="str">
        <x:v>白绫人生闪回中的阿修罗轮回身份；妆容与其他轮回不同，在失败或死亡前抬眼，眼神不甘而非求饶；脸部结构与CHR-001一致</x:v>
      </x:c>
      <x:c r="F20" s="41" t="str">
        <x:v>CHR-001的轮回稳定变体；与PRP-009白绫绑定</x:v>
      </x:c>
      <x:c r="G20" s="43" t="str">
        <x:v>时代、身份、年龄、妆发服装、具体空间及死亡方式未进一步明确</x:v>
      </x:c>
    </x:row>
    <x:row r="21" ht="36" hidden="0" customHeight="1">
      <x:c r="A21" s="40" t="str">
        <x:v>CHR-007</x:v>
      </x:c>
      <x:c r="B21" s="41" t="str">
        <x:v>流放长路女子</x:v>
      </x:c>
      <x:c r="C21" s="42" t="str">
        <x:v>人物-稳定轮回变体</x:v>
      </x:c>
      <x:c r="D21" s="41" t="str">
        <x:v>镜头28</x:v>
      </x:c>
      <x:c r="E21" s="41" t="str">
        <x:v>流放长路人生闪回中的阿修罗轮回身份；妆容与其他轮回不同，在失败或死亡前抬眼，眼神不甘而非求饶；脸部结构与CHR-001一致</x:v>
      </x:c>
      <x:c r="F21" s="41" t="str">
        <x:v>CHR-001的轮回稳定变体；使用SCN-011流放长路场景</x:v>
      </x:c>
      <x:c r="G21" s="43" t="str">
        <x:v>时代、罪名、押解状态、年龄、妆发服装与随行人物未明确</x:v>
      </x:c>
    </x:row>
    <x:row r="22" ht="36" hidden="0" customHeight="1">
      <x:c r="A22" s="40" t="str">
        <x:v>CHR-008</x:v>
      </x:c>
      <x:c r="B22" s="41" t="str">
        <x:v>刀锋临刑女子</x:v>
      </x:c>
      <x:c r="C22" s="42" t="str">
        <x:v>人物-稳定轮回变体</x:v>
      </x:c>
      <x:c r="D22" s="41" t="str">
        <x:v>镜头28</x:v>
      </x:c>
      <x:c r="E22" s="41" t="str">
        <x:v>刀锋人生闪回中的阿修罗轮回身份；妆容与其他轮回不同，在失败或死亡前抬眼，眼神不甘而非求饶；脸部结构与CHR-001一致</x:v>
      </x:c>
      <x:c r="F22" s="41" t="str">
        <x:v>CHR-001的轮回稳定变体；与PRP-010刀锋绑定</x:v>
      </x:c>
      <x:c r="G22" s="43" t="str">
        <x:v>时代、身份、临刑方式、具体空间、年龄、妆发服装未明确</x:v>
      </x:c>
    </x:row>
    <x:row r="23" ht="36" hidden="0" customHeight="1">
      <x:c r="A23" s="40" t="str">
        <x:v>CHR-009</x:v>
      </x:c>
      <x:c r="B23" s="41" t="str">
        <x:v>千夫所指女子</x:v>
      </x:c>
      <x:c r="C23" s="42" t="str">
        <x:v>人物-稳定轮回变体</x:v>
      </x:c>
      <x:c r="D23" s="41" t="str">
        <x:v>镜头28</x:v>
      </x:c>
      <x:c r="E23" s="41" t="str">
        <x:v>千夫所指人生闪回中的阿修罗轮回身份；妆容与其他轮回不同，在失败或死亡前抬眼，眼神不甘而非求饶；脸部结构与CHR-001一致</x:v>
      </x:c>
      <x:c r="F23" s="41" t="str">
        <x:v>CHR-001的轮回稳定变体；与GRP-004千夫所指人群形成指责关系</x:v>
      </x:c>
      <x:c r="G23" s="43" t="str">
        <x:v>时代、身份、指责原因、场所、年龄、妆发服装未明确</x:v>
      </x:c>
    </x:row>
    <x:row r="24" ht="48" hidden="0" customHeight="1">
      <x:c r="A24" s="40" t="str">
        <x:v>CHR-010</x:v>
      </x:c>
      <x:c r="B24" s="41" t="str">
        <x:v>佛</x:v>
      </x:c>
      <x:c r="C24" s="42" t="str">
        <x:v>人物-基础身份</x:v>
      </x:c>
      <x:c r="D24" s="41" t="str">
        <x:v>导演总控；镜头07、11、15、29；AI制作控制</x:v>
      </x:c>
      <x:c r="E24" s="41" t="str">
        <x:v>不正面显现、不转头、不停顿，也不选择任何一人；以树下空间、袈裟边缘、垂落手指、光中肩线及听众朝向建立存在；不得把五百罗汉逐一实体化；没有震怒、叹息或私人情感表示</x:v>
      </x:c>
      <x:c r="F24" s="41" t="str">
        <x:v>VFX-002是CHR-001对佛之照见的主观感受，不是佛客观发出的私人目光；与SND-002佛声绑定；与GRP-001形成讲经与听闻关系</x:v>
      </x:c>
      <x:c r="G24" s="43" t="str">
        <x:v>年龄、体貌、手部特征、袈裟形制颜色、具体佛教造像文化依据未明确</x:v>
      </x:c>
    </x:row>
    <x:row r="25" ht="24" hidden="0" customHeight="1">
      <x:c r="A25" s="40" t="str">
        <x:v>CHR-011</x:v>
      </x:c>
      <x:c r="B25" s="41" t="str">
        <x:v>得到爱的人影</x:v>
      </x:c>
      <x:c r="C25" s="42" t="str">
        <x:v>人物-辅助身份</x:v>
      </x:c>
      <x:c r="D25" s="41" t="str">
        <x:v>镜头22</x:v>
      </x:c>
      <x:c r="E25" s="41" t="str">
        <x:v>身份不完全显露，灯下与CHR-002相握，供其依偎并带来真实安稳；画面只要求人影侧面关系，不要求完整身份展示</x:v>
      </x:c>
      <x:c r="F25" s="41" t="str">
        <x:v>与CHR-002形成相握依偎组合</x:v>
      </x:c>
      <x:c r="G25" s="43" t="str">
        <x:v>性别、年龄、身份、面容、服装以及是否为镜头21目光来源未明确；不得与CHR-012自动合并</x:v>
      </x:c>
    </x:row>
    <x:row r="26" ht="36" hidden="0" customHeight="1">
      <x:c r="A26" s="40" t="str">
        <x:v>CHR-012</x:v>
      </x:c>
      <x:c r="B26" s="41" t="str">
        <x:v>赠簪者</x:v>
      </x:c>
      <x:c r="C26" s="42" t="str">
        <x:v>人物-辅助身份</x:v>
      </x:c>
      <x:c r="D26" s="41" t="str">
        <x:v>镜头23</x:v>
      </x:c>
      <x:c r="E26" s="41" t="str">
        <x:v>在另一个时代把PRP-004发簪递给CHR-013；通过与上一镜同一只手的匹配动作进入，但不代表与CHR-011同一人物</x:v>
      </x:c>
      <x:c r="F26" s="41" t="str">
        <x:v>与CHR-003构成被目击关系；向CHR-013递交PRP-004</x:v>
      </x:c>
      <x:c r="G26" s="43" t="str">
        <x:v>性别、年龄、身份、面容、服装与和CHR-003的关系未明确</x:v>
      </x:c>
    </x:row>
    <x:row r="27" ht="24" hidden="0" customHeight="1">
      <x:c r="A27" s="40" t="str">
        <x:v>CHR-013</x:v>
      </x:c>
      <x:c r="B27" s="41" t="str">
        <x:v>受簪女子</x:v>
      </x:c>
      <x:c r="C27" s="42" t="str">
        <x:v>人物-辅助身份</x:v>
      </x:c>
      <x:c r="D27" s="41" t="str">
        <x:v>镜头23</x:v>
      </x:c>
      <x:c r="E27" s="41" t="str">
        <x:v>另一名女子，接收CHR-012递来的发簪；与CHR-003不是同一身份</x:v>
      </x:c>
      <x:c r="F27" s="41" t="str">
        <x:v>接收PRP-004发簪；被CHR-003隔帘目击</x:v>
      </x:c>
      <x:c r="G27" s="43" t="str">
        <x:v>年龄、身份、面容、妆发服装及与赠簪者的关系未明确</x:v>
      </x:c>
    </x:row>
    <x:row r="28" ht="24" hidden="0" customHeight="1">
      <x:c r="A28" s="40" t="str">
        <x:v>CHR-014</x:v>
      </x:c>
      <x:c r="B28" s="41" t="str">
        <x:v>被带出宫门的人</x:v>
      </x:c>
      <x:c r="C28" s="42" t="str">
        <x:v>人物-辅助身份</x:v>
      </x:c>
      <x:c r="D28" s="41" t="str">
        <x:v>镜头27</x:v>
      </x:c>
      <x:c r="E28" s="41" t="str">
        <x:v>是CHR-015曾想留住的人，被带向门外；宫门关闭使其与CHR-015分离</x:v>
      </x:c>
      <x:c r="F28" s="41" t="str">
        <x:v>与CHR-015存在想留住却失去的关系</x:v>
      </x:c>
      <x:c r="G28" s="43" t="str">
        <x:v>性别、年龄、身份、面容、服装、与CHR-015的关系及带走原因未明确</x:v>
      </x:c>
    </x:row>
    <x:row r="29" ht="36" hidden="0" customHeight="1">
      <x:c r="A29" s="40" t="str">
        <x:v>CHR-015</x:v>
      </x:c>
      <x:c r="B29" s="41" t="str">
        <x:v>宫门反噬女子</x:v>
      </x:c>
      <x:c r="C29" s="42" t="str">
        <x:v>人物-稳定轮回变体</x:v>
      </x:c>
      <x:c r="D29" s="41" t="str">
        <x:v>镜头27；轮回连续性规则</x:v>
      </x:c>
      <x:c r="E29" s="41" t="str">
        <x:v>宫门在她面前合拢，曾想留住的人被带向门外；火光、风雪与空床在不同人生间叠化，报复最终吞回自身；脸部结构与CHR-001一致</x:v>
      </x:c>
      <x:c r="F29" s="41" t="str">
        <x:v>CHR-001的轮回稳定变体；与CHR-014存在想留住但被带走的关系</x:v>
      </x:c>
      <x:c r="G29" s="43" t="str">
        <x:v>具体时代、身份、妆发服装未明确；与CHR-005是否同一世需用户确认</x:v>
      </x:c>
    </x:row>
    <x:row r="30" ht="36" hidden="0" customHeight="1">
      <x:c r="A30" s="40" t="str">
        <x:v>GRP-001</x:v>
      </x:c>
      <x:c r="B30" s="41" t="str">
        <x:v>佛国听众群体（含比丘尼）</x:v>
      </x:c>
      <x:c r="C30" s="42" t="str">
        <x:v>人物群组</x:v>
      </x:c>
      <x:c r="D30" s="41" t="str">
        <x:v>镜头03、07、10-13、15、18、29；空间与AI制作控制</x:v>
      </x:c>
      <x:c r="E30" s="41" t="str">
        <x:v>殿内前方与两侧比丘尼和树下／佛前听众共同建立讲经规模与修行秩序；与女主起初衣色、姿态、呼吸几乎一致；镜头29以层层听众剪影建立佛前空间，不逐一实体化五百罗汉</x:v>
      </x:c>
      <x:c r="F30" s="41" t="str">
        <x:v>CHR-001起初融入该群体；与CHR-010形成听经关系；使用PRP-002群体念珠组</x:v>
      </x:c>
      <x:c r="G30" s="43" t="str">
        <x:v>人数、性别构成、年龄分布、具体站坐层次、服装差异与是否包含非比丘尼听众未明确</x:v>
      </x:c>
    </x:row>
    <x:row r="31" ht="24" hidden="0" customHeight="1">
      <x:c r="A31" s="40" t="str">
        <x:v>GRP-002</x:v>
      </x:c>
      <x:c r="B31" s="41" t="str">
        <x:v>王府深院人群</x:v>
      </x:c>
      <x:c r="C31" s="42" t="str">
        <x:v>人物群组</x:v>
      </x:c>
      <x:c r="D31" s="41" t="str">
        <x:v>镜头21</x:v>
      </x:c>
      <x:c r="E31" s="41" t="str">
        <x:v>低饱和深院中围绕CHR-002，目光越过众人落向她；承担人群边缘构图与被看见对比</x:v>
      </x:c>
      <x:c r="F31" s="41" t="str">
        <x:v>与CHR-002形成众人与边缘个体关系</x:v>
      </x:c>
      <x:c r="G31" s="43" t="str">
        <x:v>人数、性别、身份、服装、队形和目光来源人物是否在群体内未明确</x:v>
      </x:c>
    </x:row>
    <x:row r="32" ht="24" hidden="0" customHeight="1">
      <x:c r="A32" s="40" t="str">
        <x:v>GRP-003</x:v>
      </x:c>
      <x:c r="B32" s="41" t="str">
        <x:v>宫廷俯首群臣</x:v>
      </x:c>
      <x:c r="C32" s="42" t="str">
        <x:v>人物群组</x:v>
      </x:c>
      <x:c r="D32" s="41" t="str">
        <x:v>镜头25</x:v>
      </x:c>
      <x:c r="E32" s="41" t="str">
        <x:v>在宫廷高位前万人俯首，所有人看向CHR-004；众人衣袍伏地</x:v>
      </x:c>
      <x:c r="F32" s="41" t="str">
        <x:v>与CHR-004形成权力上下关系</x:v>
      </x:c>
      <x:c r="G32" s="43" t="str">
        <x:v>实际可见人数、官阶构成、朝代服制、阵列与性别构成未明确</x:v>
      </x:c>
    </x:row>
    <x:row r="33" ht="24" hidden="0" customHeight="1">
      <x:c r="A33" s="40" t="str">
        <x:v>GRP-004</x:v>
      </x:c>
      <x:c r="B33" s="41" t="str">
        <x:v>千夫所指人群</x:v>
      </x:c>
      <x:c r="C33" s="42" t="str">
        <x:v>人物群组</x:v>
      </x:c>
      <x:c r="D33" s="41" t="str">
        <x:v>镜头28</x:v>
      </x:c>
      <x:c r="E33" s="41" t="str">
        <x:v>作为一世失败／死亡前的围观与指责人群，指向CHR-009；只需在2秒死亡叠闪中快速辨认情境</x:v>
      </x:c>
      <x:c r="F33" s="41" t="str">
        <x:v>与CHR-009形成群体指责关系</x:v>
      </x:c>
      <x:c r="G33" s="43" t="str">
        <x:v>时代、场所、人数、人物构成、服装和具体指责动作未明确</x:v>
      </x:c>
    </x:row>
    <x:row r="34" ht="48" hidden="0" customHeight="1">
      <x:c r="A34" s="40" t="str">
        <x:v>SCN-001</x:v>
      </x:c>
      <x:c r="B34" s="41" t="str">
        <x:v>佛国寺院完整空间</x:v>
      </x:c>
      <x:c r="C34" s="42" t="str">
        <x:v>场景-组合对象</x:v>
      </x:c>
      <x:c r="D34" s="41" t="str">
        <x:v>空间总控；镜头02-19、29；AI制作控制</x:v>
      </x:c>
      <x:c r="E34" s="41" t="str">
        <x:v>由远山寺宇、佛殿内景、庭院树下讲经区及讲经树构成连续空间；女主在殿内偏后、光柱边缘，佛在前方庭院树下；殿门连接内殿与庭院，客观镜头必须保持同一空间轴线；佛国日常空寂、无金光神迹</x:v>
      </x:c>
      <x:c r="F34" s="41" t="str">
        <x:v>由SCN-002、SCN-003、SCN-004与SET-001组成；VFX-007殿门光柱与尘粒属于其稳定自然光照条件</x:v>
      </x:c>
      <x:c r="G34" s="43" t="str">
        <x:v>整体平面、尺度、朝向、建筑年代地域、材质细节和最终宽银幕比例未明确</x:v>
      </x:c>
    </x:row>
    <x:row r="35" ht="36" hidden="0" customHeight="1">
      <x:c r="A35" s="40" t="str">
        <x:v>SCN-002</x:v>
      </x:c>
      <x:c r="B35" s="41" t="str">
        <x:v>佛国寺宇远山远景</x:v>
      </x:c>
      <x:c r="C35" s="42" t="str">
        <x:v>场景-组成对象</x:v>
      </x:c>
      <x:c r="D35" s="41" t="str">
        <x:v>镜头02、18</x:v>
      </x:c>
      <x:c r="E35" s="41" t="str">
        <x:v>真实远山、寺宇、山雾、低对比层次与大面积天空；气质近似淡墨但不做水墨特效，无金光和神迹；镜头18作为逐层远离的远景层</x:v>
      </x:c>
      <x:c r="F35" s="41" t="str">
        <x:v>SCN-001佛国寺院完整空间的远景组成</x:v>
      </x:c>
      <x:c r="G35" s="43" t="str">
        <x:v>山形、寺宇数量与布局、建筑形制、季节、时段和具体地域未明确</x:v>
      </x:c>
    </x:row>
    <x:row r="36" ht="48" hidden="0" customHeight="1">
      <x:c r="A36" s="40" t="str">
        <x:v>SCN-003</x:v>
      </x:c>
      <x:c r="B36" s="41" t="str">
        <x:v>佛殿内景</x:v>
      </x:c>
      <x:c r="C36" s="42" t="str">
        <x:v>场景-组成对象</x:v>
      </x:c>
      <x:c r="D36" s="41" t="str">
        <x:v>镜头03-05、08-10、12-13、15、17-19</x:v>
      </x:c>
      <x:c r="E36" s="41" t="str">
        <x:v>女主位于偏后光柱边缘，比丘尼在前方与两侧；殿门可见庭院与树下讲经区；客观镜头深焦恢复共同秩序，主观镜头可变窄或失焦；近黑、深灰、浅灰与白为主，保留弱自然材质色</x:v>
      </x:c>
      <x:c r="F36" s="41" t="str">
        <x:v>SCN-001的内殿组成；通过殿门与SCN-004相连；承载PRP-001与PRP-002念珠使用</x:v>
      </x:c>
      <x:c r="G36" s="43" t="str">
        <x:v>殿内尺度、柱网、供奉陈设、地面墙面材质、门窗细节与烛火真实位置未明确</x:v>
      </x:c>
    </x:row>
    <x:row r="37" ht="36" hidden="0" customHeight="1">
      <x:c r="A37" s="40" t="str">
        <x:v>SCN-004</x:v>
      </x:c>
      <x:c r="B37" s="41" t="str">
        <x:v>寺院庭院与树下讲经区</x:v>
      </x:c>
      <x:c r="C37" s="42" t="str">
        <x:v>场景-组成对象</x:v>
      </x:c>
      <x:c r="D37" s="41" t="str">
        <x:v>镜头06-07、11、14、18、29</x:v>
      </x:c>
      <x:c r="E37" s="41" t="str">
        <x:v>殿门外庭院安静如常，树影落在门槛外；树下讲经区通过袈裟边缘、手指和听众朝向建立佛的存在；镜头29回到佛前，以听众剪影、肩线与垂手构图</x:v>
      </x:c>
      <x:c r="F37" s="41" t="str">
        <x:v>SCN-001的庭院组成；与SCN-003通过殿门相连；包含SET-001讲经树</x:v>
      </x:c>
      <x:c r="G37" s="43" t="str">
        <x:v>庭院铺地、边界、树与佛的确切位置、讲经座具及气候季节未明确</x:v>
      </x:c>
    </x:row>
    <x:row r="38" ht="24" hidden="0" customHeight="1">
      <x:c r="A38" s="40" t="str">
        <x:v>SET-001</x:v>
      </x:c>
      <x:c r="B38" s="41" t="str">
        <x:v>佛国讲经树</x:v>
      </x:c>
      <x:c r="C38" s="42" t="str">
        <x:v>场景组成-植物</x:v>
      </x:c>
      <x:c r="D38" s="41" t="str">
        <x:v>镜头06-07、14、18</x:v>
      </x:c>
      <x:c r="E38" s="41" t="str">
        <x:v>真实庭院树，树影落在门槛外；镜头14真实枝条完全不动，青绿叶从枝端松开且枝条无回弹；承担树下讲经空间锚点</x:v>
      </x:c>
      <x:c r="F38" s="41" t="str">
        <x:v>位于SCN-004；是PRP-003青绿落叶的来源对象</x:v>
      </x:c>
      <x:c r="G38" s="43" t="str">
        <x:v>树种、树龄、树形、树皮与叶片密度未明确</x:v>
      </x:c>
    </x:row>
    <x:row r="39" ht="24" hidden="0" customHeight="1">
      <x:c r="A39" s="40" t="str">
        <x:v>SCN-005</x:v>
      </x:c>
      <x:c r="B39" s="41" t="str">
        <x:v>王府低饱和深院</x:v>
      </x:c>
      <x:c r="C39" s="42" t="str">
        <x:v>场景</x:v>
      </x:c>
      <x:c r="D39" s="41" t="str">
        <x:v>镜头21</x:v>
      </x:c>
      <x:c r="E39" s="41" t="str">
        <x:v>低饱和、深院构图，供少女站在人群边缘并被目光越过众人看见</x:v>
      </x:c>
      <x:c r="F39" s="41" t="str">
        <x:v>承载CHR-002与GRP-002</x:v>
      </x:c>
      <x:c r="G39" s="43" t="str">
        <x:v>具体朝代地域、院落等级、建筑布局、时段、光源与陈设未明确</x:v>
      </x:c>
    </x:row>
    <x:row r="40" ht="24" hidden="0" customHeight="1">
      <x:c r="A40" s="40" t="str">
        <x:v>SCN-006</x:v>
      </x:c>
      <x:c r="B40" s="41" t="str">
        <x:v>灯下依偎空间</x:v>
      </x:c>
      <x:c r="C40" s="42" t="str">
        <x:v>场景</x:v>
      </x:c>
      <x:c r="D40" s="41" t="str">
        <x:v>镜头22</x:v>
      </x:c>
      <x:c r="E40" s="41" t="str">
        <x:v>灯下空间，光线短暂变柔但画面不艳丽；允许两手相握与人影侧身依偎</x:v>
      </x:c>
      <x:c r="F40" s="41" t="str">
        <x:v>承载CHR-002与CHR-011相握依偎组合</x:v>
      </x:c>
      <x:c r="G40" s="43" t="str">
        <x:v>时代、地域、室内功能、可见范围、灯具类型与陈设未明确</x:v>
      </x:c>
    </x:row>
    <x:row r="41" ht="24" hidden="0" customHeight="1">
      <x:c r="A41" s="40" t="str">
        <x:v>SCN-007</x:v>
      </x:c>
      <x:c r="B41" s="41" t="str">
        <x:v>帘后喜乐空间</x:v>
      </x:c>
      <x:c r="C41" s="42" t="str">
        <x:v>场景</x:v>
      </x:c>
      <x:c r="D41" s="41" t="str">
        <x:v>镜头23-24</x:v>
      </x:c>
      <x:c r="E41" s="41" t="str">
        <x:v>CHR-003隔着帘影目击赠簪；喜乐声从门外或门后传入并骤然变远；镜头24延续掌心发簪动作</x:v>
      </x:c>
      <x:c r="F41" s="41" t="str">
        <x:v>承载CHR-003、CHR-012、CHR-013与PRP-004</x:v>
      </x:c>
      <x:c r="G41" s="43" t="str">
        <x:v>具体时代、场所是婚宴还是其他喜庆场合、门帘材质、空间层次与光源未明确</x:v>
      </x:c>
    </x:row>
    <x:row r="42" ht="24" hidden="0" customHeight="1">
      <x:c r="A42" s="40" t="str">
        <x:v>SCN-008</x:v>
      </x:c>
      <x:c r="B42" s="41" t="str">
        <x:v>宫廷垂帘高位与处置案前</x:v>
      </x:c>
      <x:c r="C42" s="42" t="str">
        <x:v>场景</x:v>
      </x:c>
      <x:c r="D42" s="41" t="str">
        <x:v>镜头25、镜头26前半</x:v>
      </x:c>
      <x:c r="E42" s="41" t="str">
        <x:v>宫廷垂帘后设万人俯首的高位；案面可完成处置诏书落印动作；整体低饱和，权力场面不使用炫目金色</x:v>
      </x:c>
      <x:c r="F42" s="41" t="str">
        <x:v>承载CHR-004、GRP-003、PRP-005和PRP-006</x:v>
      </x:c>
      <x:c r="G42" s="43" t="str">
        <x:v>具体朝代、殿堂等级、垂帘与高位形制、案几陈设、空间尺度未明确</x:v>
      </x:c>
    </x:row>
    <x:row r="43" ht="24" hidden="0" customHeight="1">
      <x:c r="A43" s="40" t="str">
        <x:v>SCN-009</x:v>
      </x:c>
      <x:c r="B43" s="41" t="str">
        <x:v>毒酒处置空间</x:v>
      </x:c>
      <x:c r="C43" s="42" t="str">
        <x:v>场景</x:v>
      </x:c>
      <x:c r="D43" s="41" t="str">
        <x:v>镜头26后半</x:v>
      </x:c>
      <x:c r="E43" s="41" t="str">
        <x:v>另一世的处置场面，只需呈现女子把一杯酒推向画外，不展示受害者；动作与上一世落印匹配切换</x:v>
      </x:c>
      <x:c r="F43" s="41" t="str">
        <x:v>承载CHR-005与PRP-007</x:v>
      </x:c>
      <x:c r="G43" s="43" t="str">
        <x:v>时代、室内外、桌案形制、光源、画外对象方位与场景身份未明确</x:v>
      </x:c>
    </x:row>
    <x:row r="44" ht="24" hidden="0" customHeight="1">
      <x:c r="A44" s="40" t="str">
        <x:v>SCN-010</x:v>
      </x:c>
      <x:c r="B44" s="41" t="str">
        <x:v>宫门反噬空间</x:v>
      </x:c>
      <x:c r="C44" s="42" t="str">
        <x:v>场景</x:v>
      </x:c>
      <x:c r="D44" s="41" t="str">
        <x:v>镜头27</x:v>
      </x:c>
      <x:c r="E44" s="41" t="str">
        <x:v>宫门在CHR-015面前合拢，CHR-014被带向门外；与火光、风雪和空床的不同人生片段快速叠化</x:v>
      </x:c>
      <x:c r="F44" s="41" t="str">
        <x:v>承载CHR-015、CHR-014与VFX-005、VFX-006、PRP-008</x:v>
      </x:c>
      <x:c r="G44" s="43" t="str">
        <x:v>宫门时代形制、内外方向、可见守卫／带走者、场景尺度与叠化支撑背景未明确</x:v>
      </x:c>
    </x:row>
    <x:row r="45" ht="24" hidden="0" customHeight="1">
      <x:c r="A45" s="40" t="str">
        <x:v>SCN-011</x:v>
      </x:c>
      <x:c r="B45" s="41" t="str">
        <x:v>流放长路</x:v>
      </x:c>
      <x:c r="C45" s="42" t="str">
        <x:v>场景</x:v>
      </x:c>
      <x:c r="D45" s="41" t="str">
        <x:v>镜头28</x:v>
      </x:c>
      <x:c r="E45" s="41" t="str">
        <x:v>作为多世死亡叠闪之一，在极短时间内清楚表达流放长路；维持低饱和且不得强过青绿落叶的色彩存在感</x:v>
      </x:c>
      <x:c r="F45" s="41" t="str">
        <x:v>承载CHR-007</x:v>
      </x:c>
      <x:c r="G45" s="43" t="str">
        <x:v>时代、地貌、天气、押解方式、同行人物与道路尺度未明确</x:v>
      </x:c>
    </x:row>
    <x:row r="46" ht="36" hidden="0" customHeight="1">
      <x:c r="A46" s="40" t="str">
        <x:v>PRP-001</x:v>
      </x:c>
      <x:c r="B46" s="41" t="str">
        <x:v>女主灰白念珠</x:v>
      </x:c>
      <x:c r="C46" s="42" t="str">
        <x:v>道具-基础对象</x:v>
      </x:c>
      <x:c r="D46" s="41" t="str">
        <x:v>视觉与声音母题；镜头01、03-04、13、17-19</x:v>
      </x:c>
      <x:c r="E46" s="41" t="str">
        <x:v>灰白色，在女主指间逐颗稳定移动；一颗先无意识停住，后被女主主动握进掌心并逆向拨动一颗；镜头19摊掌看见被握住的念珠后再合拢；不作为发光或神迹物</x:v>
      </x:c>
      <x:c r="F46" s="41" t="str">
        <x:v>CHR-001专属持有；SND-005念珠声音系统以其和群体念珠为声源；停住、握紧与逆拨均为同一基础对象的状态，不另拆资产</x:v>
      </x:c>
      <x:c r="G46" s="43" t="str">
        <x:v>材质、颗数、直径、穿绳、磨损、长度与是否和PRP-002同型未明确</x:v>
      </x:c>
    </x:row>
    <x:row r="47" ht="24" hidden="0" customHeight="1">
      <x:c r="A47" s="40" t="str">
        <x:v>PRP-002</x:v>
      </x:c>
      <x:c r="B47" s="41" t="str">
        <x:v>佛国群体念珠组</x:v>
      </x:c>
      <x:c r="C47" s="42" t="str">
        <x:v>道具-组合对象</x:v>
      </x:c>
      <x:c r="D47" s="41" t="str">
        <x:v>镜头03、13</x:v>
      </x:c>
      <x:c r="E47" s="41" t="str">
        <x:v>由佛国修行听众多人使用，形成群体秩序；镜头13群体恢复拨珠而女主位置缺少一拍</x:v>
      </x:c>
      <x:c r="F47" s="41" t="str">
        <x:v>GRP-001使用的群体道具组合；与PRP-001共同形成念珠秩序母题</x:v>
      </x:c>
      <x:c r="G47" s="43" t="str">
        <x:v>数量、是否全员持有、材质规格及与女主念珠是否同型未明确</x:v>
      </x:c>
    </x:row>
    <x:row r="48" ht="48" hidden="0" customHeight="1">
      <x:c r="A48" s="40" t="str">
        <x:v>PRP-003</x:v>
      </x:c>
      <x:c r="B48" s="41" t="str">
        <x:v>青绿落叶</x:v>
      </x:c>
      <x:c r="C48" s="42" t="str">
        <x:v>道具-稳定母题对象</x:v>
      </x:c>
      <x:c r="D48" s="41" t="str">
        <x:v>美学与母题；镜头14、16-17、20、29；AI制作控制</x:v>
      </x:c>
      <x:c r="E48" s="41" t="str">
        <x:v>唯一明确保留生命色的物体，冷、灰、近湿润竹叶或古玉，不发光不霓虹；从真实树枝枝端无风松开，慢于现实下沉，不旋转炫技；镜头20以影子从片名字后下沉并接入人间女子手；镜头29由女主掌心接住并合拢，叶子不被捏碎</x:v>
      </x:c>
      <x:c r="F48" s="41" t="str">
        <x:v>来源于SET-001讲经树；跨越佛国、片名与轮回归来保持同一母题身份；影子与被接住状态均不另建资产</x:v>
      </x:c>
      <x:c r="G48" s="43" t="str">
        <x:v>树种对应、叶片尺寸、叶脉、缺损、湿润程度与正反面特征未明确</x:v>
      </x:c>
    </x:row>
    <x:row r="49" ht="24" hidden="0" customHeight="1">
      <x:c r="A49" s="40" t="str">
        <x:v>PRP-004</x:v>
      </x:c>
      <x:c r="B49" s="41" t="str">
        <x:v>发簪</x:v>
      </x:c>
      <x:c r="C49" s="42" t="str">
        <x:v>道具</x:v>
      </x:c>
      <x:c r="D49" s="41" t="str">
        <x:v>镜头23-24；轮回动作接力</x:v>
      </x:c>
      <x:c r="E49" s="41" t="str">
        <x:v>由CHR-012递给CHR-013，被CHR-003隔帘看见；随后进入CHR-003掌心并被握紧，作为被取代到妒恨的动作接力</x:v>
      </x:c>
      <x:c r="F49" s="41" t="str">
        <x:v>与CHR-003、CHR-012、CHR-013形成三方关系</x:v>
      </x:c>
      <x:c r="G49" s="43" t="str">
        <x:v>时代、材质、形制、颜色、花纹、如何转入CHR-003手中未明确</x:v>
      </x:c>
    </x:row>
    <x:row r="50" ht="24" hidden="0" customHeight="1">
      <x:c r="A50" s="40" t="str">
        <x:v>PRP-005</x:v>
      </x:c>
      <x:c r="B50" s="41" t="str">
        <x:v>宫廷印章</x:v>
      </x:c>
      <x:c r="C50" s="42" t="str">
        <x:v>道具</x:v>
      </x:c>
      <x:c r="D50" s="41" t="str">
        <x:v>镜头26前半</x:v>
      </x:c>
      <x:c r="E50" s="41" t="str">
        <x:v>由CHR-004落在处置诏书上，动作冷静并与毒酒酒杯触案形成匹配撞击</x:v>
      </x:c>
      <x:c r="F50" s="41" t="str">
        <x:v>CHR-004持有并操作；与PRP-006、PRP-007构成跨世报复动作接力</x:v>
      </x:c>
      <x:c r="G50" s="43" t="str">
        <x:v>是私印、官印或玺印未明确；材质、尺寸、印文、印泥颜色与时代形制未明确</x:v>
      </x:c>
    </x:row>
    <x:row r="51" ht="24" hidden="0" customHeight="1">
      <x:c r="A51" s="40" t="str">
        <x:v>PRP-006</x:v>
      </x:c>
      <x:c r="B51" s="41" t="str">
        <x:v>处置诏书</x:v>
      </x:c>
      <x:c r="C51" s="42" t="str">
        <x:v>道具</x:v>
      </x:c>
      <x:c r="D51" s="41" t="str">
        <x:v>镜头26前半</x:v>
      </x:c>
      <x:c r="E51" s="41" t="str">
        <x:v>供CHR-004冷静落印的处置文书；文本内容不要求读出，但必须具备可信的处置文书身份</x:v>
      </x:c>
      <x:c r="F51" s="41" t="str">
        <x:v>与PRP-005印章组合使用</x:v>
      </x:c>
      <x:c r="G51" s="43" t="str">
        <x:v>朝代、材质、书写形式、可见文字、处置对象及卷轴／册页形制未明确</x:v>
      </x:c>
    </x:row>
    <x:row r="52" ht="24" hidden="0" customHeight="1">
      <x:c r="A52" s="40" t="str">
        <x:v>PRP-007</x:v>
      </x:c>
      <x:c r="B52" s="41" t="str">
        <x:v>毒酒酒杯</x:v>
      </x:c>
      <x:c r="C52" s="42" t="str">
        <x:v>道具-组合对象</x:v>
      </x:c>
      <x:c r="D52" s="41" t="str">
        <x:v>镜头26后半</x:v>
      </x:c>
      <x:c r="E52" s="41" t="str">
        <x:v>一杯酒被CHR-005推向画外，画面不展示受害者；酒杯触案声音与上一世印章落桌叠为一次撞击</x:v>
      </x:c>
      <x:c r="F52" s="41" t="str">
        <x:v>由酒杯与杯中毒酒构成组合对象；与PRP-005落印动作形成跨世匹配</x:v>
      </x:c>
      <x:c r="G52" s="43" t="str">
        <x:v>时代、杯型材质、酒液颜色、毒性是否可视化、桌案形制与画外接受者未明确</x:v>
      </x:c>
    </x:row>
    <x:row r="53" ht="24" hidden="0" customHeight="1">
      <x:c r="A53" s="40" t="str">
        <x:v>PRP-008</x:v>
      </x:c>
      <x:c r="B53" s="41" t="str">
        <x:v>空床</x:v>
      </x:c>
      <x:c r="C53" s="42" t="str">
        <x:v>道具-场景主体</x:v>
      </x:c>
      <x:c r="D53" s="41" t="str">
        <x:v>镜头27</x:v>
      </x:c>
      <x:c r="E53" s="41" t="str">
        <x:v>作为反噬中不同人生之一的快速叠化主体，与火光和风雪并列；用于表达报复吞回自身后的失去</x:v>
      </x:c>
      <x:c r="F53" s="41" t="str">
        <x:v>与VFX-005火光、VFX-006风雪共同组成镜头27反噬叠化素材</x:v>
      </x:c>
      <x:c r="G53" s="43" t="str">
        <x:v>时代、床榻形制、室内环境、是否带卧具及和CHR-015／CHR-014的具体关系未明确</x:v>
      </x:c>
    </x:row>
    <x:row r="54" ht="24" hidden="0" customHeight="1">
      <x:c r="A54" s="40" t="str">
        <x:v>PRP-009</x:v>
      </x:c>
      <x:c r="B54" s="41" t="str">
        <x:v>白绫</x:v>
      </x:c>
      <x:c r="C54" s="42" t="str">
        <x:v>道具</x:v>
      </x:c>
      <x:c r="D54" s="41" t="str">
        <x:v>镜头28</x:v>
      </x:c>
      <x:c r="E54" s="41" t="str">
        <x:v>作为多世失败或死亡叠闪之一，与CHR-006绑定；只需在极短画面中清楚识别，不使用猎奇伤害特写</x:v>
      </x:c>
      <x:c r="F54" s="41" t="str">
        <x:v>与CHR-006形成死亡前情境</x:v>
      </x:c>
      <x:c r="G54" s="43" t="str">
        <x:v>长度、宽度、材质、悬挂方式、空间与人物接触方式未明确</x:v>
      </x:c>
    </x:row>
    <x:row r="55" ht="24" hidden="0" customHeight="1">
      <x:c r="A55" s="40" t="str">
        <x:v>PRP-010</x:v>
      </x:c>
      <x:c r="B55" s="41" t="str">
        <x:v>刀锋</x:v>
      </x:c>
      <x:c r="C55" s="42" t="str">
        <x:v>道具</x:v>
      </x:c>
      <x:c r="D55" s="41" t="str">
        <x:v>镜头28</x:v>
      </x:c>
      <x:c r="E55" s="41" t="str">
        <x:v>作为多世失败或死亡叠闪之一，与CHR-008绑定；不得以裸露伤害特写制造高潮</x:v>
      </x:c>
      <x:c r="F55" s="41" t="str">
        <x:v>与CHR-008形成临刑／死亡前情境</x:v>
      </x:c>
      <x:c r="G55" s="43" t="str">
        <x:v>刀剑类型、时代、材质、持有者、运动方向与是否接触人物未明确</x:v>
      </x:c>
    </x:row>
    <x:row r="56" ht="36" hidden="0" customHeight="1">
      <x:c r="A56" s="40" t="str">
        <x:v>GFX-001</x:v>
      </x:c>
      <x:c r="B56" s="41" t="str">
        <x:v>《阿修罗》片名字</x:v>
      </x:c>
      <x:c r="C56" s="42" t="str">
        <x:v>图文资产</x:v>
      </x:c>
      <x:c r="D56" s="41" t="str">
        <x:v>镜头20</x:v>
      </x:c>
      <x:c r="E56" s="41" t="str">
        <x:v>近黑深灰底上的灰白枯笔字《阿修罗》缓慢显现；不发光、不描金；青绿落叶影子从字后下沉，片名是轮回之门而非结束</x:v>
      </x:c>
      <x:c r="F56" s="41" t="str">
        <x:v>与PRP-003落叶影子共同完成镜头20转场</x:v>
      </x:c>
      <x:c r="G56" s="43" t="str">
        <x:v>具体书写字形、笔触、排版、字距、出现速度与最终宽银幕安全区未明确</x:v>
      </x:c>
    </x:row>
    <x:row r="57" ht="24" hidden="0" customHeight="1">
      <x:c r="A57" s="40" t="str">
        <x:v>VFX-001</x:v>
      </x:c>
      <x:c r="B57" s="41" t="str">
        <x:v>真实烛火显现</x:v>
      </x:c>
      <x:c r="C57" s="42" t="str">
        <x:v>VFX-独立视觉对象</x:v>
      </x:c>
      <x:c r="D57" s="41" t="str">
        <x:v>镜头01；美学母题</x:v>
      </x:c>
      <x:c r="E57" s="41" t="str">
        <x:v>纯黑后一点真实烛火渐显，火焰极轻摇曳，周围仍不可见；不承担一级视觉母题，不发光炫技</x:v>
      </x:c>
      <x:c r="F57" s="41" t="str">
        <x:v>与SND-014灯芯爆裂配合</x:v>
      </x:c>
      <x:c r="G57" s="43" t="str">
        <x:v>是否可见灯芯或灯具、火焰尺寸、距离、燃料类型和画面位置未明确</x:v>
      </x:c>
    </x:row>
    <x:row r="58" ht="36" hidden="0" customHeight="1">
      <x:c r="A58" s="40" t="str">
        <x:v>VFX-002</x:v>
      </x:c>
      <x:c r="B58" s="41" t="str">
        <x:v>女主主观照见中的眼睛</x:v>
      </x:c>
      <x:c r="C58" s="42" t="str">
        <x:v>VFX-稳定视觉母题</x:v>
      </x:c>
      <x:c r="D58" s="41" t="str">
        <x:v>导演总控；镜头08；AI制作控制</x:v>
      </x:c>
      <x:c r="E58" s="41" t="str">
        <x:v>殿门光线边缘仿佛出现一双生理真实、极安静的眼睛；不暧昧、不寻找女主眼睛，像落在她眉心；禁止宇宙眼、星河瞳孔、神光、魔眼等词汇与形态</x:v>
      </x:c>
      <x:c r="F58" s="41" t="str">
        <x:v>是CHR-001对CHR-010佛之照见的主观感受，不是佛客观眼部资产或私人情感</x:v>
      </x:c>
      <x:c r="G58" s="43" t="str">
        <x:v>眼型、虹膜颜色、肤色、可见眼周范围、与CHR-010体貌是否对应未明确</x:v>
      </x:c>
    </x:row>
    <x:row r="59" ht="36" hidden="0" customHeight="1">
      <x:c r="A59" s="40" t="str">
        <x:v>VFX-003</x:v>
      </x:c>
      <x:c r="B59" s="41" t="str">
        <x:v>心远空间扩张与时间褪色效果</x:v>
      </x:c>
      <x:c r="C59" s="42" t="str">
        <x:v>VFX-组合效果</x:v>
      </x:c>
      <x:c r="D59" s="41" t="str">
        <x:v>镜头18；AI制作控制</x:v>
      </x:c>
      <x:c r="E59" s="41" t="str">
        <x:v>女主不坠落也不缩小，殿、庭院、树与远山逐层远离；像时间褪色，世界不再与她保持同一距离；可将空间扩张分层制作后合成</x:v>
      </x:c>
      <x:c r="F59" s="41" t="str">
        <x:v>组合使用SCN-002、SCN-003、SCN-004、SET-001与CHR-001</x:v>
      </x:c>
      <x:c r="G59" s="43" t="str">
        <x:v>分层数量、远离顺序、速度曲线、褪色程度、镜头空间变形方式未明确</x:v>
      </x:c>
    </x:row>
    <x:row r="60" ht="24" hidden="0" customHeight="1">
      <x:c r="A60" s="40" t="str">
        <x:v>VFX-004</x:v>
      </x:c>
      <x:c r="B60" s="41" t="str">
        <x:v>掌纹极暗血色闪现</x:v>
      </x:c>
      <x:c r="C60" s="42" t="str">
        <x:v>VFX</x:v>
      </x:c>
      <x:c r="D60" s="41" t="str">
        <x:v>镜头24；轮回色彩规则</x:v>
      </x:c>
      <x:c r="E60" s="41" t="str">
        <x:v>仅在CHR-003掌纹中一闪，极暗、饱和度远低于青绿落叶；不作为裸露伤害或猎奇特写</x:v>
      </x:c>
      <x:c r="F60" s="41" t="str">
        <x:v>绑定CHR-003握紧PRP-004发簪的掌心状态</x:v>
      </x:c>
      <x:c r="G60" s="43" t="str">
        <x:v>形态、范围、持续帧数、是否为光／液体／肤色变化未明确</x:v>
      </x:c>
    </x:row>
    <x:row r="61" ht="24" hidden="0" customHeight="1">
      <x:c r="A61" s="40" t="str">
        <x:v>VFX-005</x:v>
      </x:c>
      <x:c r="B61" s="41" t="str">
        <x:v>反噬人生火光层</x:v>
      </x:c>
      <x:c r="C61" s="42" t="str">
        <x:v>VFX-环境层</x:v>
      </x:c>
      <x:c r="D61" s="41" t="str">
        <x:v>镜头27；轮回色彩规则</x:v>
      </x:c>
      <x:c r="E61" s="41" t="str">
        <x:v>与风雪、空床在不同人生间迅速叠化；可使用压暗红时代色，但必须低饱和且不强过青绿落叶</x:v>
      </x:c>
      <x:c r="F61" s="41" t="str">
        <x:v>与VFX-006和PRP-008共同组成镜头27叠化素材</x:v>
      </x:c>
      <x:c r="G61" s="43" t="str">
        <x:v>火源、场景、规模、人物是否同框和具体时代未明确</x:v>
      </x:c>
    </x:row>
    <x:row r="62" ht="24" hidden="0" customHeight="1">
      <x:c r="A62" s="40" t="str">
        <x:v>VFX-006</x:v>
      </x:c>
      <x:c r="B62" s="41" t="str">
        <x:v>反噬人生风雪层</x:v>
      </x:c>
      <x:c r="C62" s="42" t="str">
        <x:v>VFX-环境层</x:v>
      </x:c>
      <x:c r="D62" s="41" t="str">
        <x:v>镜头27；轮回色彩规则</x:v>
      </x:c>
      <x:c r="E62" s="41" t="str">
        <x:v>与火光、空床在不同人生间迅速叠化；可使用风雪蓝灰时代色，保持低饱和</x:v>
      </x:c>
      <x:c r="F62" s="41" t="str">
        <x:v>与VFX-005和PRP-008共同组成镜头27叠化素材；对应SND-022风雪声</x:v>
      </x:c>
      <x:c r="G62" s="43" t="str">
        <x:v>风雪强度、方向、场景、人物是否同框和具体时代未明确</x:v>
      </x:c>
    </x:row>
    <x:row r="63" ht="36" hidden="0" customHeight="1">
      <x:c r="A63" s="40" t="str">
        <x:v>VFX-007</x:v>
      </x:c>
      <x:c r="B63" s="41" t="str">
        <x:v>殿门光柱与尘粒</x:v>
      </x:c>
      <x:c r="C63" s="42" t="str">
        <x:v>VFX-稳定环境效果</x:v>
      </x:c>
      <x:c r="D63" s="41" t="str">
        <x:v>空间总控；镜头03、06、08、10、12</x:v>
      </x:c>
      <x:c r="E63" s="41" t="str">
        <x:v>自然光柱位于女主与殿门空间轴线上，尘粒缓慢漂浮；主观镜头可使空间变窄，客观镜头恢复普通光和同一轴线；不使用神光、金光或异象</x:v>
      </x:c>
      <x:c r="F63" s="41" t="str">
        <x:v>属于SCN-001与SCN-003、SCN-004的稳定光照条件；镜头10第一次完整落到CHR-001脸侧，镜头12恢复为照众人的普通光</x:v>
      </x:c>
      <x:c r="G63" s="43" t="str">
        <x:v>光源方向、时段、体积密度、色温、尘粒尺度与强度未明确</x:v>
      </x:c>
    </x:row>
    <x:row r="64" ht="36" hidden="0" customHeight="1">
      <x:c r="A64" s="40" t="str">
        <x:v>SND-001</x:v>
      </x:c>
      <x:c r="B64" s="41" t="str">
        <x:v>女主／阿修罗声音</x:v>
      </x:c>
      <x:c r="C64" s="42" t="str">
        <x:v>声音-角色声音</x:v>
      </x:c>
      <x:c r="D64" s="41" t="str">
        <x:v>镜头05、10、19、29-30</x:v>
      </x:c>
      <x:c r="E64" s="41" t="str">
        <x:v>同一角色的克制遥远VO与轻声台词；台词包括那一天和任何一天没有分别、我以为你看见了我、佛说由爱故生忧等、因为无爱所以无恨、我的名字叫阿修罗；片尾说完立即结束</x:v>
      </x:c>
      <x:c r="F64" s="41" t="str">
        <x:v>绑定CHR-001及其轮回同一身份</x:v>
      </x:c>
      <x:c r="G64" s="43" t="str">
        <x:v>音色、年龄感、语言节奏、气息比例、佛国VO与轮回现场对白是否完全同一音色未明确</x:v>
      </x:c>
    </x:row>
    <x:row r="65" ht="24" hidden="0" customHeight="1">
      <x:c r="A65" s="40" t="str">
        <x:v>SND-002</x:v>
      </x:c>
      <x:c r="B65" s="41" t="str">
        <x:v>佛声（远距讲经）</x:v>
      </x:c>
      <x:c r="C65" s="42" t="str">
        <x:v>声音-角色声音</x:v>
      </x:c>
      <x:c r="D65" s="41" t="str">
        <x:v>镜头07、11</x:v>
      </x:c>
      <x:c r="E65" s="41" t="str">
        <x:v>隔着距离传来，只能听见节律、听不清具体句子；客观世界中与木鱼共同恢复原有距离和秩序</x:v>
      </x:c>
      <x:c r="F65" s="41" t="str">
        <x:v>绑定CHR-010</x:v>
      </x:c>
      <x:c r="G65" s="43" t="str">
        <x:v>性别／年龄感、音色、语言、诵读内容、声场距离和是否需要可辨音节未明确</x:v>
      </x:c>
    </x:row>
    <x:row r="66" ht="36" hidden="0" customHeight="1">
      <x:c r="A66" s="40" t="str">
        <x:v>SND-003</x:v>
      </x:c>
      <x:c r="B66" s="41" t="str">
        <x:v>佛国梵呗与众声低诵</x:v>
      </x:c>
      <x:c r="C66" s="42" t="str">
        <x:v>声音-群体声音</x:v>
      </x:c>
      <x:c r="D66" s="41" t="str">
        <x:v>声音母题；镜头03、05、08、15、18、29</x:v>
      </x:c>
      <x:c r="E66" s="41" t="str">
        <x:v>与木鱼、念珠共同构成修行秩序；可变薄、变远、被拉远或中断半拍；镜头29众声低诵逐渐汇成一句并在最后一字同时停止</x:v>
      </x:c>
      <x:c r="F66" s="41" t="str">
        <x:v>主要由GRP-001发出；与SND-006木鱼声、SND-005念珠声构成秩序声场</x:v>
      </x:c>
      <x:c r="G66" s="43" t="str">
        <x:v>人数、声部、语言／经文、男女声比例、镜头29汇成的具体句子未明确</x:v>
      </x:c>
    </x:row>
    <x:row r="67" ht="24" hidden="0" customHeight="1">
      <x:c r="A67" s="40" t="str">
        <x:v>SND-004</x:v>
      </x:c>
      <x:c r="B67" s="41" t="str">
        <x:v>轮回问句多声部</x:v>
      </x:c>
      <x:c r="C67" s="42" t="str">
        <x:v>声音-群体声音</x:v>
      </x:c>
      <x:c r="D67" s="41" t="str">
        <x:v>镜头28</x:v>
      </x:c>
      <x:c r="E67" s="41" t="str">
        <x:v>多种人声压成模糊一句‘放下了吗？’；必须在2秒死亡叠闪中可感知但不做清晰人物对白</x:v>
      </x:c>
      <x:c r="F67" s="41" t="str">
        <x:v>与CHR-006至CHR-009的多世画面组合</x:v>
      </x:c>
      <x:c r="G67" s="43" t="str">
        <x:v>人声数量、性别年龄、清晰度、空间感和是否与SND-003使用同一群体音色未明确</x:v>
      </x:c>
    </x:row>
    <x:row r="68" ht="36" hidden="0" customHeight="1">
      <x:c r="A68" s="40" t="str">
        <x:v>SND-005</x:v>
      </x:c>
      <x:c r="B68" s="41" t="str">
        <x:v>念珠声音系统</x:v>
      </x:c>
      <x:c r="C68" s="42" t="str">
        <x:v>声音-核心母题</x:v>
      </x:c>
      <x:c r="D68" s="41" t="str">
        <x:v>声音母题；镜头01、03-04、13、18</x:v>
      </x:c>
      <x:c r="E68" s="41" t="str">
        <x:v>远及近的稳定秩序声、单颗干燥轻响、突然停住、缺少一拍、逆向轻响和掌中闷响均属同一声源系统；逆拨声必须与秩序方向相反</x:v>
      </x:c>
      <x:c r="F68" s="41" t="str">
        <x:v>声源为PRP-001与PRP-002；与SND-006木鱼和SND-003梵呗共同构成佛国秩序</x:v>
      </x:c>
      <x:c r="G68" s="43" t="str">
        <x:v>材质录音基准、空间混响、群体层数、正常与逆拨的方向性设计未明确</x:v>
      </x:c>
    </x:row>
    <x:row r="69" ht="24" hidden="0" customHeight="1">
      <x:c r="A69" s="40" t="str">
        <x:v>SND-006</x:v>
      </x:c>
      <x:c r="B69" s="41" t="str">
        <x:v>木鱼声</x:v>
      </x:c>
      <x:c r="C69" s="42" t="str">
        <x:v>声音-核心母题</x:v>
      </x:c>
      <x:c r="D69" s="41" t="str">
        <x:v>声音母题；镜头03、08、11、14-15、18、25</x:v>
      </x:c>
      <x:c r="E69" s="41" t="str">
        <x:v>规律秩序声，可变薄、恢复距离、少一拍、中断半拍、缓慢拉远和远处隐约回响；不持续低频化</x:v>
      </x:c>
      <x:c r="F69" s="41" t="str">
        <x:v>与SND-003和SND-005共同构成修行秩序</x:v>
      </x:c>
      <x:c r="G69" s="43" t="str">
        <x:v>木鱼尺寸音高、敲击节拍、殿内混响和远近版本未明确</x:v>
      </x:c>
    </x:row>
    <x:row r="70" ht="24" hidden="0" customHeight="1">
      <x:c r="A70" s="40" t="str">
        <x:v>SND-007</x:v>
      </x:c>
      <x:c r="B70" s="41" t="str">
        <x:v>磬声</x:v>
      </x:c>
      <x:c r="C70" s="42" t="str">
        <x:v>声音-核心母题</x:v>
      </x:c>
      <x:c r="D70" s="41" t="str">
        <x:v>声音母题；镜头06、20</x:v>
      </x:c>
      <x:c r="E70" s="41" t="str">
        <x:v>镜头06远磬一次且尾音未完全消失；镜头20一声磬尚未收尾即被人间第一记心跳切断</x:v>
      </x:c>
      <x:c r="F70" s="41" t="str">
        <x:v>与SND-010心跳形成佛国到人间的切断关系</x:v>
      </x:c>
      <x:c r="G70" s="43" t="str">
        <x:v>磬的音高、材质、远近版本、尾音长度与两处是否同一录音源未明确</x:v>
      </x:c>
    </x:row>
    <x:row r="71" ht="36" hidden="0" customHeight="1">
      <x:c r="A71" s="40" t="str">
        <x:v>SND-008</x:v>
      </x:c>
      <x:c r="B71" s="41" t="str">
        <x:v>女主呼吸</x:v>
      </x:c>
      <x:c r="C71" s="42" t="str">
        <x:v>声音-角色动作</x:v>
      </x:c>
      <x:c r="D71" s="41" t="str">
        <x:v>表演与声音母题；镜头05、08-09、12、17、22、27</x:v>
      </x:c>
      <x:c r="E71" s="41" t="str">
        <x:v>包含比梵呗迟半拍、被看见后的完整轻呼吸、再次慢半拍、耳侧贴近、依偎贴近和反噬急促喘息等状态；用于心理变化，不进入旋律</x:v>
      </x:c>
      <x:c r="F71" s="41" t="str">
        <x:v>绑定CHR-001及其轮回变体</x:v>
      </x:c>
      <x:c r="G71" s="43" t="str">
        <x:v>各状态的气息强度、收音距离、轮回身份间音色连续程度未明确；镜头22贴近呼吸是否包含CHR-011未明确</x:v>
      </x:c>
    </x:row>
    <x:row r="72" ht="24" hidden="0" customHeight="1">
      <x:c r="A72" s="40" t="str">
        <x:v>SND-009</x:v>
      </x:c>
      <x:c r="B72" s="41" t="str">
        <x:v>佛国群体呼吸</x:v>
      </x:c>
      <x:c r="C72" s="42" t="str">
        <x:v>声音-群体动作</x:v>
      </x:c>
      <x:c r="D72" s="41" t="str">
        <x:v>镜头12、15</x:v>
      </x:c>
      <x:c r="E72" s="41" t="str">
        <x:v>人群呼吸恢复时突出女主慢半拍；镜头15所有人呼吸与梵呗木鱼同时中断半拍</x:v>
      </x:c>
      <x:c r="F72" s="41" t="str">
        <x:v>主要由GRP-001发出；与SND-003、SND-006共同表现秩序裂缝</x:v>
      </x:c>
      <x:c r="G72" s="43" t="str">
        <x:v>人数层次、男女声比例、空间混响和停顿同步方式未明确</x:v>
      </x:c>
    </x:row>
    <x:row r="73" ht="24" hidden="0" customHeight="1">
      <x:c r="A73" s="40" t="str">
        <x:v>SND-010</x:v>
      </x:c>
      <x:c r="B73" s="41" t="str">
        <x:v>人间心跳</x:v>
      </x:c>
      <x:c r="C73" s="42" t="str">
        <x:v>声音-核心母题</x:v>
      </x:c>
      <x:c r="D73" s="41" t="str">
        <x:v>声音母题；镜头20-21、24</x:v>
      </x:c>
      <x:c r="E73" s="41" t="str">
        <x:v>镜头20第一记心跳切断磬尾；镜头21第一次清晰出现；镜头24在妒恨诞生时加快</x:v>
      </x:c>
      <x:c r="F73" s="41" t="str">
        <x:v>与轮回段CHR-002、CHR-003的执取情绪绑定</x:v>
      </x:c>
      <x:c r="G73" s="43" t="str">
        <x:v>基础心率、音色、近身程度和三处速度变化曲线未明确</x:v>
      </x:c>
    </x:row>
    <x:row r="74" ht="24" hidden="0" customHeight="1">
      <x:c r="A74" s="40" t="str">
        <x:v>SND-011</x:v>
      </x:c>
      <x:c r="B74" s="41" t="str">
        <x:v>衣料与衣袍声音</x:v>
      </x:c>
      <x:c r="C74" s="42" t="str">
        <x:v>声音-材质动作</x:v>
      </x:c>
      <x:c r="D74" s="41" t="str">
        <x:v>声音母题；镜头17、21、25</x:v>
      </x:c>
      <x:c r="E74" s="41" t="str">
        <x:v>包含女主握紧时一次细微衣料摩擦、人间衣料掠过、群臣衣袍伏地；仅作辅助，不与一级母题竞争</x:v>
      </x:c>
      <x:c r="F74" s="41" t="str">
        <x:v>分别绑定CHR-001、CHR-002与GRP-003的动作</x:v>
      </x:c>
      <x:c r="G74" s="43" t="str">
        <x:v>佛国袍服与各时代衣料材质尚未确定，需随角色资产规格匹配</x:v>
      </x:c>
    </x:row>
    <x:row r="75" ht="24" hidden="0" customHeight="1">
      <x:c r="A75" s="40" t="str">
        <x:v>SND-012</x:v>
      </x:c>
      <x:c r="B75" s="41" t="str">
        <x:v>水滴落入深井声</x:v>
      </x:c>
      <x:c r="C75" s="42" t="str">
        <x:v>声音-因果母题</x:v>
      </x:c>
      <x:c r="D75" s="41" t="str">
        <x:v>声音母题；镜头12、16</x:v>
      </x:c>
      <x:c r="E75" s="41" t="str">
        <x:v>镜头12远处水滴落入深处；镜头16一滴水落入深井并扩散后回归寂静；用于因果异常，不持续铺底</x:v>
      </x:c>
      <x:c r="F75" s="41" t="str">
        <x:v>与PRP-003青绿落叶下沉共同表现因果显形</x:v>
      </x:c>
      <x:c r="G75" s="43" t="str">
        <x:v>两处是否使用同一声音、井腔尺度、低频尾响和空间距离未明确</x:v>
      </x:c>
    </x:row>
    <x:row r="76" ht="24" hidden="0" customHeight="1">
      <x:c r="A76" s="40" t="str">
        <x:v>SND-013</x:v>
      </x:c>
      <x:c r="B76" s="41" t="str">
        <x:v>佛国外景松涛与淡风</x:v>
      </x:c>
      <x:c r="C76" s="42" t="str">
        <x:v>声音-环境</x:v>
      </x:c>
      <x:c r="D76" s="41" t="str">
        <x:v>镜头02</x:v>
      </x:c>
      <x:c r="E76" s="41" t="str">
        <x:v>远处松涛与极淡风声，服务真实佛国外景空寂；不得形成神异风声</x:v>
      </x:c>
      <x:c r="F76" s="41" t="str">
        <x:v>绑定SCN-002</x:v>
      </x:c>
      <x:c r="G76" s="43" t="str">
        <x:v>风向、强度、松林距离与环境底噪层次未明确</x:v>
      </x:c>
    </x:row>
    <x:row r="77" ht="15" hidden="0" customHeight="1">
      <x:c r="A77" s="40" t="str">
        <x:v>SND-014</x:v>
      </x:c>
      <x:c r="B77" s="41" t="str">
        <x:v>灯芯爆裂声</x:v>
      </x:c>
      <x:c r="C77" s="42" t="str">
        <x:v>声音-单次动作</x:v>
      </x:c>
      <x:c r="D77" s="41" t="str">
        <x:v>镜头01</x:v>
      </x:c>
      <x:c r="E77" s="41" t="str">
        <x:v>念珠骤停后的短暂真空中只余一次极轻灯芯爆裂；无音乐</x:v>
      </x:c>
      <x:c r="F77" s="41" t="str">
        <x:v>绑定VFX-001真实烛火显现</x:v>
      </x:c>
      <x:c r="G77" s="43" t="str">
        <x:v>火焰声源类型、响度、距离与残响未明确</x:v>
      </x:c>
    </x:row>
    <x:row r="78" ht="15" hidden="0" customHeight="1">
      <x:c r="A78" s="40" t="str">
        <x:v>SND-015</x:v>
      </x:c>
      <x:c r="B78" s="41" t="str">
        <x:v>得到爱短弦乐句</x:v>
      </x:c>
      <x:c r="C78" s="42" t="str">
        <x:v>声音-音乐片段</x:v>
      </x:c>
      <x:c r="D78" s="41" t="str">
        <x:v>镜头22</x:v>
      </x:c>
      <x:c r="E78" s="41" t="str">
        <x:v>远处一小段弦乐完整奏完，用于真实安稳，不艳俗不煽情</x:v>
      </x:c>
      <x:c r="F78" s="41" t="str">
        <x:v>绑定CHR-002与CHR-011相握依偎时刻</x:v>
      </x:c>
      <x:c r="G78" s="43" t="str">
        <x:v>乐器编制、调性、旋律、时长、时代风格与空间来源未明确</x:v>
      </x:c>
    </x:row>
    <x:row r="79" ht="24" hidden="0" customHeight="1">
      <x:c r="A79" s="40" t="str">
        <x:v>SND-016</x:v>
      </x:c>
      <x:c r="B79" s="41" t="str">
        <x:v>隔门喜乐声</x:v>
      </x:c>
      <x:c r="C79" s="42" t="str">
        <x:v>声音-环境音乐</x:v>
      </x:c>
      <x:c r="D79" s="41" t="str">
        <x:v>镜头23</x:v>
      </x:c>
      <x:c r="E79" s="41" t="str">
        <x:v>隔着门骤然变远，衬托被取代瞬间；不要求画面直接展示完整喜宴</x:v>
      </x:c>
      <x:c r="F79" s="41" t="str">
        <x:v>绑定SCN-007</x:v>
      </x:c>
      <x:c r="G79" s="43" t="str">
        <x:v>具体喜庆场合、乐器、人声构成、时代风格与门后声场未明确</x:v>
      </x:c>
    </x:row>
    <x:row r="80" ht="24" hidden="0" customHeight="1">
      <x:c r="A80" s="40" t="str">
        <x:v>SND-017</x:v>
      </x:c>
      <x:c r="B80" s="41" t="str">
        <x:v>杯沿轻碰声</x:v>
      </x:c>
      <x:c r="C80" s="42" t="str">
        <x:v>声音-单次动作</x:v>
      </x:c>
      <x:c r="D80" s="41" t="str">
        <x:v>镜头23</x:v>
      </x:c>
      <x:c r="E80" s="41" t="str">
        <x:v>在隔门喜乐骤远后出现一次杯沿轻碰；作为被取代场面的细小现实声音</x:v>
      </x:c>
      <x:c r="F80" s="41" t="str"/>
      <x:c r="G80" s="43" t="str">
        <x:v>杯具材质、碰撞对象、画面内外位置与响度未明确</x:v>
      </x:c>
    </x:row>
    <x:row r="81" ht="24" hidden="0" customHeight="1">
      <x:c r="A81" s="40" t="str">
        <x:v>SND-018</x:v>
      </x:c>
      <x:c r="B81" s="41" t="str">
        <x:v>琴弦断裂声</x:v>
      </x:c>
      <x:c r="C81" s="42" t="str">
        <x:v>声音-因果动作</x:v>
      </x:c>
      <x:c r="D81" s="41" t="str">
        <x:v>镜头24</x:v>
      </x:c>
      <x:c r="E81" s="41" t="str">
        <x:v>妒恨诞生时琴弦断裂并接心跳加快；断弦是人间执取辅助声音</x:v>
      </x:c>
      <x:c r="F81" s="41" t="str">
        <x:v>与VFX-004掌纹血色闪现、SND-010心跳组合</x:v>
      </x:c>
      <x:c r="G81" s="43" t="str">
        <x:v>琴种、弦材、音高、断裂长度、空间位置未明确</x:v>
      </x:c>
    </x:row>
    <x:row r="82" ht="24" hidden="0" customHeight="1">
      <x:c r="A82" s="40" t="str">
        <x:v>SND-019</x:v>
      </x:c>
      <x:c r="B82" s="41" t="str">
        <x:v>宫廷低鼓</x:v>
      </x:c>
      <x:c r="C82" s="42" t="str">
        <x:v>声音-音乐动作</x:v>
      </x:c>
      <x:c r="D82" s="41" t="str">
        <x:v>镜头25</x:v>
      </x:c>
      <x:c r="E82" s="41" t="str">
        <x:v>权力高位场面只用低鼓一记；与衣袍伏地及远处木鱼回响共同建立权力和因果</x:v>
      </x:c>
      <x:c r="F82" s="41" t="str">
        <x:v>绑定SCN-008与CHR-004</x:v>
      </x:c>
      <x:c r="G82" s="43" t="str">
        <x:v>鼓种、音高、力度、空间距离与时代风格未明确</x:v>
      </x:c>
    </x:row>
    <x:row r="83" ht="24" hidden="0" customHeight="1">
      <x:c r="A83" s="40" t="str">
        <x:v>SND-020</x:v>
      </x:c>
      <x:c r="B83" s="41" t="str">
        <x:v>落印与酒杯触案匹配撞击</x:v>
      </x:c>
      <x:c r="C83" s="42" t="str">
        <x:v>声音-组合效果</x:v>
      </x:c>
      <x:c r="D83" s="41" t="str">
        <x:v>镜头26</x:v>
      </x:c>
      <x:c r="E83" s="41" t="str">
        <x:v>印章落桌与酒杯触案叠成一次沉重撞击；必须连接两世主动报复决定</x:v>
      </x:c>
      <x:c r="F83" s="41" t="str">
        <x:v>声源为PRP-005与PRP-007；对应CHR-004到CHR-005的跨世匹配切换</x:v>
      </x:c>
      <x:c r="G83" s="43" t="str">
        <x:v>两声比例、同步点、桌案材质、响度和低频重量未明确</x:v>
      </x:c>
    </x:row>
    <x:row r="84" ht="24" hidden="0" customHeight="1">
      <x:c r="A84" s="40" t="str">
        <x:v>SND-021</x:v>
      </x:c>
      <x:c r="B84" s="41" t="str">
        <x:v>宫门关闭与门轴轰鸣</x:v>
      </x:c>
      <x:c r="C84" s="42" t="str">
        <x:v>声音-环境动作</x:v>
      </x:c>
      <x:c r="D84" s="41" t="str">
        <x:v>镜头27</x:v>
      </x:c>
      <x:c r="E84" s="41" t="str">
        <x:v>宫门在CHR-015面前合拢，门轴轰鸣与风雪和急促喘息同时压入</x:v>
      </x:c>
      <x:c r="F84" s="41" t="str">
        <x:v>绑定SCN-010</x:v>
      </x:c>
      <x:c r="G84" s="43" t="str">
        <x:v>门体材质尺寸、关闭速度、门轴结构、空间混响未明确</x:v>
      </x:c>
    </x:row>
    <x:row r="85" ht="24" hidden="0" customHeight="1">
      <x:c r="A85" s="40" t="str">
        <x:v>SND-022</x:v>
      </x:c>
      <x:c r="B85" s="41" t="str">
        <x:v>风雪声</x:v>
      </x:c>
      <x:c r="C85" s="42" t="str">
        <x:v>声音-环境</x:v>
      </x:c>
      <x:c r="D85" s="41" t="str">
        <x:v>镜头27</x:v>
      </x:c>
      <x:c r="E85" s="41" t="str">
        <x:v>与门轴轰鸣和女主急促喘息同时压入；对应不同人生间的风雪视觉叠化</x:v>
      </x:c>
      <x:c r="F85" s="41" t="str">
        <x:v>绑定VFX-006；与SND-021、SND-008组合</x:v>
      </x:c>
      <x:c r="G85" s="43" t="str">
        <x:v>风级、雪粒质感、方向性、空间和持续长度未明确</x:v>
      </x:c>
    </x:row>
    <x:row r="86" ht="24" hidden="0" customHeight="1">
      <x:c r="A86" s="44" t="str">
        <x:v>SND-023</x:v>
      </x:c>
      <x:c r="B86" s="45" t="str">
        <x:v>短促低频嗡鸣</x:v>
      </x:c>
      <x:c r="C86" s="46" t="str">
        <x:v>声音-转折辅助</x:v>
      </x:c>
      <x:c r="D86" s="45" t="str">
        <x:v>声音母题总控</x:v>
      </x:c>
      <x:c r="E86" s="45" t="str">
        <x:v>只允许在关键转折短暂出现，不得持续铺底；不属于一级母题，仅辅助秩序裂缝或因果转折</x:v>
      </x:c>
      <x:c r="F86" s="45" t="str"/>
      <x:c r="G86" s="47" t="str">
        <x:v>导演稿未指定具体镜头位置、次数、频段、时长和响度；制作前需确认是否实际使用</x:v>
      </x:c>
    </x:row>
  </x:sheetData>
  <x:mergeCells>
    <x:mergeCell ref="B11:G11"/>
    <x:mergeCell ref="B12:G12"/>
  </x:mergeCells>
  <x:pageMargins left="0.7" right="0.7" top="0.75" bottom="0.75" header="0.3" footer="0.3"/>
  <x:tableParts count="1">
    <x:tablePart xmlns:r="http://schemas.openxmlformats.org/officeDocument/2006/relationships" r:id="R27ddb4b0b8394762"/>
  </x:tableParts>
</x:worksheet>
</file>