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accd9ee76b42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优先级表" sheetId="1" r:id="R541cb64132e74d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111827"/>
      <x:name val="Arial"/>
    </x:font>
    <x:font>
      <x:b/>
      <x:sz val="10"/>
      <x:color rgb="FF374151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F3A46"/>
      </x:patternFill>
    </x:fill>
    <x:fill>
      <x:patternFill patternType="solid">
        <x:fgColor rgb="FF465362"/>
      </x:patternFill>
    </x:fill>
  </x:fills>
  <x:borders count="12">
    <x:border/>
    <x:border>
      <x:bottom style="thin">
        <x:color rgb="FF9CA3A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2" xfId="0" applyNumberFormat="1" applyFont="1" applyFill="1" applyBorder="1" applyAlignment="1">
      <x:alignment horizontal="center"/>
    </x:xf>
    <x:xf numFmtId="0" fontId="5" fillId="2" borderId="3" xfId="0" applyNumberFormat="1" applyFont="1" applyFill="1" applyBorder="1" applyAlignment="1">
      <x:alignment horizontal="center"/>
    </x:xf>
    <x:xf numFmtId="0" fontId="5" fillId="2" borderId="4" xfId="0" applyNumberFormat="1" applyFont="1" applyFill="1" applyBorder="1" applyAlignment="1">
      <x:alignment horizont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3" fillId="0" borderId="5" xfId="0" applyNumberFormat="1" applyFont="1" applyFill="1" applyBorder="1"/>
    <x:xf numFmtId="0" fontId="3" fillId="0" borderId="7" xfId="0" applyNumberFormat="1" applyFont="1" applyFill="1" applyBorder="1"/>
    <x:xf numFmtId="0" fontId="3" fillId="0" borderId="9" xfId="0" applyNumberFormat="1" applyFont="1" applyFill="1" applyBorder="1"/>
    <x:xf numFmtId="0" fontId="1" fillId="0" borderId="6" xfId="0" applyNumberFormat="1" applyFont="1" applyFill="1" applyBorder="1" applyAlignment="1">
      <x:alignment horizontal="right"/>
    </x:xf>
    <x:xf numFmtId="0" fontId="1" fillId="0" borderId="8" xfId="0" applyNumberFormat="1" applyFont="1" applyFill="1" applyBorder="1" applyAlignment="1">
      <x:alignment horizontal="right"/>
    </x:xf>
    <x:xf numFmtId="0" fontId="1" fillId="0" borderId="10" xfId="0" applyNumberFormat="1" applyFont="1" applyFill="1" applyBorder="1" applyAlignment="1">
      <x:alignment horizontal="right"/>
    </x:xf>
    <x:xf numFmtId="200" fontId="1" fillId="0" borderId="6" xfId="0" applyNumberFormat="1" applyFont="1" applyFill="1" applyBorder="1" applyAlignment="1">
      <x:alignment horizontal="right"/>
    </x:xf>
    <x:xf numFmtId="200" fontId="1" fillId="0" borderId="8" xfId="0" applyNumberFormat="1" applyFont="1" applyFill="1" applyBorder="1" applyAlignment="1">
      <x:alignment horizontal="right"/>
    </x:xf>
    <x:xf numFmtId="200" fontId="1" fillId="0" borderId="1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0" fontId="1" fillId="0" borderId="11" xfId="0" applyNumberFormat="1" applyFont="1" applyFill="1" applyBorder="1"/>
    <x:xf numFmtId="200" fontId="1" fillId="0" borderId="11" xfId="0" applyNumberFormat="1" applyFont="1" applyFill="1" applyBorder="1"/>
    <x:xf numFmtId="0" fontId="3" fillId="0" borderId="11" xfId="0" applyNumberFormat="1" applyFont="1" applyFill="1" applyBorder="1"/>
    <x:xf numFmtId="200" fontId="1" fillId="0" borderId="11" xfId="0" applyNumberFormat="1" applyFont="1" applyFill="1" applyBorder="1" applyAlignment="1">
      <x:alignment horizontal="right"/>
    </x:xf>
    <x:xf numFmtId="0" fontId="1" fillId="0" borderId="11" xfId="0" applyNumberFormat="1" applyFont="1" applyFill="1" applyBorder="1" applyAlignment="1">
      <x:alignment horizontal="right"/>
    </x:xf>
  </x:cellXfs>
  <x:cellStyles count="1">
    <x:cellStyle name="Normal" xfId="0"/>
  </x:cellStyles>
  <x:dxfs count="4">
    <x:dxf>
      <x:font>
        <x:b/>
        <x:color rgb="FF1F3A5F"/>
      </x:font>
      <x:fill>
        <x:patternFill patternType="solid">
          <x:bgColor rgb="FFDCE6F2"/>
        </x:patternFill>
      </x:fill>
    </x:dxf>
    <x:dxf>
      <x:font>
        <x:color rgb="FF2C4C6B"/>
      </x:font>
      <x:fill>
        <x:patternFill patternType="solid">
          <x:bgColor rgb="FFEAF0F8"/>
        </x:patternFill>
      </x:fill>
    </x:dxf>
    <x:dxf>
      <x:font>
        <x:color rgb="FF4B5563"/>
      </x:font>
      <x:fill>
        <x:patternFill patternType="solid">
          <x:bgColor rgb="FFF2F2F2"/>
        </x:patternFill>
      </x:fill>
    </x:dxf>
    <x:dxf>
      <x:font>
        <x:color rgb="FF6B5B3E"/>
      </x:font>
      <x:fill>
        <x:patternFill patternType="solid">
          <x:bgColor rgb="FFF7F3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01146eb4f44c00" /><Relationship Type="http://schemas.openxmlformats.org/officeDocument/2006/relationships/theme" Target="/xl/theme/theme1.xml" Id="Rd72a99454706479b" /><Relationship Type="http://schemas.openxmlformats.org/officeDocument/2006/relationships/sharedStrings" Target="/xl/sharedStrings.xml" Id="R13365d443cf046b4" /><Relationship Type="http://schemas.openxmlformats.org/officeDocument/2006/relationships/worksheet" Target="/xl/worksheets/sheet1.xml" Id="R541cb64132e74d66" /></Relationships>
</file>

<file path=xl/tables/table1.xml><?xml version="1.0" encoding="utf-8"?>
<x:table xmlns:x="http://schemas.openxmlformats.org/spreadsheetml/2006/main" id="1" name="AssetPriorityTable" displayName="AssetPriorityTable" ref="A7:D79" headerRowCount="1" totalsRowCount="0" totalsRowShown="0">
  <x:autoFilter ref="A7:D79"/>
  <x:tableColumns count="4">
    <x:tableColumn id="1" name="资产ID"/>
    <x:tableColumn id="2" name="资产名称"/>
    <x:tableColumn id="3" name="资产类别"/>
    <x:tableColumn id="4" name="资产优先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a83d90e1b04f39" /></Relationships>
</file>

<file path=xl/worksheets/sheet1.xml><?xml version="1.0" encoding="utf-8"?>
<x:worksheet xmlns:x="http://schemas.openxmlformats.org/spreadsheetml/2006/main">
  <x:sheetPr>
    <x:tabColor rgb="FF374151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16" hidden="0" customWidth="1"/>
    <x:col min="5" max="5" width="3" hidden="0" customWidth="1"/>
    <x:col min="6" max="6" width="16" hidden="0" customWidth="1"/>
    <x:col min="7" max="7" width="12" hidden="0" customWidth="1"/>
  </x:cols>
  <x:sheetData>
    <x:row r="2" ht="24" customHeight="1">
      <x:c r="A2" s="2" t="str">
        <x:v>《阿修罗》资产优先级表</x:v>
      </x:c>
      <x:c r="B2" s="1"/>
      <x:c r="C2" s="1"/>
      <x:c r="D2" s="1"/>
      <x:c r="E2" s="1"/>
      <x:c r="F2" s="26" t="str">
        <x:v>优先级</x:v>
      </x:c>
      <x:c r="G2" s="26" t="str">
        <x:v>资产数</x:v>
      </x:c>
    </x:row>
    <x:row r="3" ht="34" customHeight="1">
      <x:c r="A3" s="6" t="str">
        <x:v>判断范围</x:v>
      </x:c>
      <x:c r="B3" s="7" t="str">
        <x:v>完整剧本对应统一资产表中的72项资产。同一优先级内相互并列，原行序仅便于核对。</x:v>
      </x:c>
      <x:c r="C3" s="1"/>
      <x:c r="D3" s="1"/>
      <x:c r="E3" s="1"/>
      <x:c r="F3" s="33" t="str">
        <x:v>核心级</x:v>
      </x:c>
      <x:c r="G3" s="39" t="n">
        <x:f>COUNTIFS($D$8:$D$79,F3)</x:f>
        <x:v>17</x:v>
      </x:c>
    </x:row>
    <x:row r="4" ht="34" customHeight="1">
      <x:c r="A4" s="6" t="str">
        <x:v>判断依据</x:v>
      </x:c>
      <x:c r="B4" s="7" t="str">
        <x:v>《阿修罗》艺术序章_导演整合修订版.docx；《阿修罗》艺术序章_统一资产统计表.xlsx（资产统计表 A14:G86）</x:v>
      </x:c>
      <x:c r="C4" s="1"/>
      <x:c r="D4" s="1"/>
      <x:c r="E4" s="1"/>
      <x:c r="F4" s="34" t="str">
        <x:v>高优先级</x:v>
      </x:c>
      <x:c r="G4" s="40" t="n">
        <x:f>COUNTIFS($D$8:$D$79,F4)</x:f>
        <x:v>22</x:v>
      </x:c>
    </x:row>
    <x:row r="5">
      <x:c r="A5" s="8"/>
      <x:c r="B5" s="8"/>
      <x:c r="C5" s="8"/>
      <x:c r="D5" s="8"/>
      <x:c r="E5" s="1"/>
      <x:c r="F5" s="34" t="str">
        <x:v>中优先级</x:v>
      </x:c>
      <x:c r="G5" s="40" t="n">
        <x:f>COUNTIFS($D$8:$D$79,F5)</x:f>
        <x:v>20</x:v>
      </x:c>
    </x:row>
    <x:row r="6">
      <x:c r="A6" s="1"/>
      <x:c r="B6" s="1"/>
      <x:c r="C6" s="1"/>
      <x:c r="D6" s="1"/>
      <x:c r="E6" s="1"/>
      <x:c r="F6" s="35" t="str">
        <x:v>低优先级</x:v>
      </x:c>
      <x:c r="G6" s="41" t="n">
        <x:f>COUNTIFS($D$8:$D$79,F6)</x:f>
        <x:v>13</x:v>
      </x:c>
    </x:row>
    <x:row r="7" ht="25" customHeight="1">
      <x:c r="A7" s="17" t="str">
        <x:v>资产ID</x:v>
      </x:c>
      <x:c r="B7" s="18" t="str">
        <x:v>资产名称</x:v>
      </x:c>
      <x:c r="C7" s="18" t="str">
        <x:v>资产类别</x:v>
      </x:c>
      <x:c r="D7" s="19" t="str">
        <x:v>资产优先级</x:v>
      </x:c>
      <x:c r="E7" s="1"/>
      <x:c r="F7" s="1"/>
      <x:c r="G7" s="42"/>
    </x:row>
    <x:row r="8" ht="23" customHeight="1">
      <x:c r="A8" s="21" t="str">
        <x:v>CHR-001</x:v>
      </x:c>
      <x:c r="B8" s="22" t="str">
        <x:v>女主（佛国修行者／阿修罗）</x:v>
      </x:c>
      <x:c r="C8" s="22" t="str">
        <x:v>人物-基础身份</x:v>
      </x:c>
      <x:c r="D8" s="21" t="str">
        <x:v>核心级</x:v>
      </x:c>
      <x:c r="E8" s="1"/>
      <x:c r="F8" s="45" t="str">
        <x:v>资产总数</x:v>
      </x:c>
      <x:c r="G8" s="46" t="n">
        <x:f>SUM(G3:G6)</x:f>
        <x:v>72</x:v>
      </x:c>
    </x:row>
    <x:row r="9" ht="23" customHeight="1">
      <x:c r="A9" s="21" t="str">
        <x:v>CHR-002</x:v>
      </x:c>
      <x:c r="B9" s="22" t="str">
        <x:v>王府少女（被看见至得到爱）</x:v>
      </x:c>
      <x:c r="C9" s="22" t="str">
        <x:v>人物-稳定轮回变体</x:v>
      </x:c>
      <x:c r="D9" s="21" t="str">
        <x:v>高优先级</x:v>
      </x:c>
      <x:c r="E9" s="1"/>
      <x:c r="F9" s="45" t="str">
        <x:v>覆盖检查</x:v>
      </x:c>
      <x:c r="G9" s="47" t="str">
        <x:f>IF(G8=72,"完整","需检查")</x:f>
        <x:v>完整</x:v>
      </x:c>
    </x:row>
    <x:row r="10" ht="23" customHeight="1">
      <x:c r="A10" s="21" t="str">
        <x:v>CHR-003</x:v>
      </x:c>
      <x:c r="B10" s="22" t="str">
        <x:v>帘后女子（被取代至妒恨）</x:v>
      </x:c>
      <x:c r="C10" s="22" t="str">
        <x:v>人物-稳定轮回变体</x:v>
      </x:c>
      <x:c r="D10" s="21" t="str">
        <x:v>高优先级</x:v>
      </x:c>
      <x:c r="E10" s="1"/>
      <x:c r="F10" s="1"/>
      <x:c r="G10" s="1"/>
    </x:row>
    <x:row r="11" ht="23" customHeight="1">
      <x:c r="A11" s="21" t="str">
        <x:v>CHR-004</x:v>
      </x:c>
      <x:c r="B11" s="22" t="str">
        <x:v>宫廷掌权女子（高位至落印报复）</x:v>
      </x:c>
      <x:c r="C11" s="22" t="str">
        <x:v>人物-稳定轮回变体</x:v>
      </x:c>
      <x:c r="D11" s="21" t="str">
        <x:v>高优先级</x:v>
      </x:c>
      <x:c r="E11" s="1"/>
      <x:c r="F11" s="1"/>
      <x:c r="G11" s="1"/>
    </x:row>
    <x:row r="12" ht="23" customHeight="1">
      <x:c r="A12" s="21" t="str">
        <x:v>CHR-005</x:v>
      </x:c>
      <x:c r="B12" s="22" t="str">
        <x:v>毒酒报复女子</x:v>
      </x:c>
      <x:c r="C12" s="22" t="str">
        <x:v>人物-稳定轮回变体</x:v>
      </x:c>
      <x:c r="D12" s="21" t="str">
        <x:v>中优先级</x:v>
      </x:c>
      <x:c r="E12" s="1"/>
      <x:c r="F12" s="1"/>
      <x:c r="G12" s="1"/>
    </x:row>
    <x:row r="13" ht="23" customHeight="1">
      <x:c r="A13" s="21" t="str">
        <x:v>CHR-006</x:v>
      </x:c>
      <x:c r="B13" s="22" t="str">
        <x:v>白绫死亡前女子</x:v>
      </x:c>
      <x:c r="C13" s="22" t="str">
        <x:v>人物-稳定轮回变体</x:v>
      </x:c>
      <x:c r="D13" s="21" t="str">
        <x:v>低优先级</x:v>
      </x:c>
      <x:c r="E13" s="1"/>
      <x:c r="F13" s="1"/>
      <x:c r="G13" s="1"/>
    </x:row>
    <x:row r="14" ht="23" customHeight="1">
      <x:c r="A14" s="21" t="str">
        <x:v>CHR-007</x:v>
      </x:c>
      <x:c r="B14" s="22" t="str">
        <x:v>流放长路女子</x:v>
      </x:c>
      <x:c r="C14" s="22" t="str">
        <x:v>人物-稳定轮回变体</x:v>
      </x:c>
      <x:c r="D14" s="21" t="str">
        <x:v>低优先级</x:v>
      </x:c>
      <x:c r="E14" s="1"/>
      <x:c r="F14" s="1"/>
      <x:c r="G14" s="1"/>
    </x:row>
    <x:row r="15" ht="23" customHeight="1">
      <x:c r="A15" s="21" t="str">
        <x:v>CHR-008</x:v>
      </x:c>
      <x:c r="B15" s="22" t="str">
        <x:v>刀锋临刑女子</x:v>
      </x:c>
      <x:c r="C15" s="22" t="str">
        <x:v>人物-稳定轮回变体</x:v>
      </x:c>
      <x:c r="D15" s="21" t="str">
        <x:v>低优先级</x:v>
      </x:c>
      <x:c r="E15" s="1"/>
      <x:c r="F15" s="1"/>
      <x:c r="G15" s="1"/>
    </x:row>
    <x:row r="16" ht="23" customHeight="1">
      <x:c r="A16" s="21" t="str">
        <x:v>CHR-009</x:v>
      </x:c>
      <x:c r="B16" s="22" t="str">
        <x:v>千夫所指女子</x:v>
      </x:c>
      <x:c r="C16" s="22" t="str">
        <x:v>人物-稳定轮回变体</x:v>
      </x:c>
      <x:c r="D16" s="21" t="str">
        <x:v>低优先级</x:v>
      </x:c>
      <x:c r="E16" s="1"/>
      <x:c r="F16" s="1"/>
      <x:c r="G16" s="1"/>
    </x:row>
    <x:row r="17" ht="23" customHeight="1">
      <x:c r="A17" s="21" t="str">
        <x:v>CHR-010</x:v>
      </x:c>
      <x:c r="B17" s="22" t="str">
        <x:v>佛</x:v>
      </x:c>
      <x:c r="C17" s="22" t="str">
        <x:v>人物-基础身份</x:v>
      </x:c>
      <x:c r="D17" s="21" t="str">
        <x:v>核心级</x:v>
      </x:c>
      <x:c r="E17" s="1"/>
      <x:c r="F17" s="1"/>
      <x:c r="G17" s="1"/>
    </x:row>
    <x:row r="18" ht="23" customHeight="1">
      <x:c r="A18" s="21" t="str">
        <x:v>CHR-011</x:v>
      </x:c>
      <x:c r="B18" s="22" t="str">
        <x:v>得到爱的人影</x:v>
      </x:c>
      <x:c r="C18" s="22" t="str">
        <x:v>人物-辅助身份</x:v>
      </x:c>
      <x:c r="D18" s="21" t="str">
        <x:v>中优先级</x:v>
      </x:c>
      <x:c r="E18" s="1"/>
      <x:c r="F18" s="1"/>
      <x:c r="G18" s="1"/>
    </x:row>
    <x:row r="19" ht="23" customHeight="1">
      <x:c r="A19" s="21" t="str">
        <x:v>CHR-012</x:v>
      </x:c>
      <x:c r="B19" s="22" t="str">
        <x:v>赠簪者</x:v>
      </x:c>
      <x:c r="C19" s="22" t="str">
        <x:v>人物-辅助身份</x:v>
      </x:c>
      <x:c r="D19" s="21" t="str">
        <x:v>中优先级</x:v>
      </x:c>
      <x:c r="E19" s="1"/>
      <x:c r="F19" s="1"/>
      <x:c r="G19" s="1"/>
    </x:row>
    <x:row r="20" ht="23" customHeight="1">
      <x:c r="A20" s="21" t="str">
        <x:v>CHR-013</x:v>
      </x:c>
      <x:c r="B20" s="22" t="str">
        <x:v>受簪女子</x:v>
      </x:c>
      <x:c r="C20" s="22" t="str">
        <x:v>人物-辅助身份</x:v>
      </x:c>
      <x:c r="D20" s="21" t="str">
        <x:v>中优先级</x:v>
      </x:c>
      <x:c r="E20" s="1"/>
      <x:c r="F20" s="1"/>
      <x:c r="G20" s="1"/>
    </x:row>
    <x:row r="21" ht="23" customHeight="1">
      <x:c r="A21" s="21" t="str">
        <x:v>CHR-014</x:v>
      </x:c>
      <x:c r="B21" s="22" t="str">
        <x:v>被带出宫门的人</x:v>
      </x:c>
      <x:c r="C21" s="22" t="str">
        <x:v>人物-辅助身份</x:v>
      </x:c>
      <x:c r="D21" s="21" t="str">
        <x:v>中优先级</x:v>
      </x:c>
      <x:c r="E21" s="1"/>
      <x:c r="F21" s="1"/>
      <x:c r="G21" s="1"/>
    </x:row>
    <x:row r="22" ht="23" customHeight="1">
      <x:c r="A22" s="21" t="str">
        <x:v>CHR-015</x:v>
      </x:c>
      <x:c r="B22" s="22" t="str">
        <x:v>宫门反噬女子</x:v>
      </x:c>
      <x:c r="C22" s="22" t="str">
        <x:v>人物-稳定轮回变体</x:v>
      </x:c>
      <x:c r="D22" s="21" t="str">
        <x:v>高优先级</x:v>
      </x:c>
      <x:c r="E22" s="1"/>
      <x:c r="F22" s="1"/>
      <x:c r="G22" s="1"/>
    </x:row>
    <x:row r="23" ht="23" customHeight="1">
      <x:c r="A23" s="21" t="str">
        <x:v>GRP-001</x:v>
      </x:c>
      <x:c r="B23" s="22" t="str">
        <x:v>佛国听众群体（含比丘尼）</x:v>
      </x:c>
      <x:c r="C23" s="22" t="str">
        <x:v>人物群组</x:v>
      </x:c>
      <x:c r="D23" s="21" t="str">
        <x:v>核心级</x:v>
      </x:c>
      <x:c r="E23" s="1"/>
      <x:c r="F23" s="1"/>
      <x:c r="G23" s="1"/>
    </x:row>
    <x:row r="24" ht="23" customHeight="1">
      <x:c r="A24" s="21" t="str">
        <x:v>GRP-002</x:v>
      </x:c>
      <x:c r="B24" s="22" t="str">
        <x:v>王府深院人群</x:v>
      </x:c>
      <x:c r="C24" s="22" t="str">
        <x:v>人物群组</x:v>
      </x:c>
      <x:c r="D24" s="21" t="str">
        <x:v>中优先级</x:v>
      </x:c>
      <x:c r="E24" s="1"/>
      <x:c r="F24" s="1"/>
      <x:c r="G24" s="1"/>
    </x:row>
    <x:row r="25" ht="23" customHeight="1">
      <x:c r="A25" s="21" t="str">
        <x:v>GRP-003</x:v>
      </x:c>
      <x:c r="B25" s="22" t="str">
        <x:v>宫廷俯首群臣</x:v>
      </x:c>
      <x:c r="C25" s="22" t="str">
        <x:v>人物群组</x:v>
      </x:c>
      <x:c r="D25" s="21" t="str">
        <x:v>中优先级</x:v>
      </x:c>
      <x:c r="E25" s="1"/>
      <x:c r="F25" s="1"/>
      <x:c r="G25" s="1"/>
    </x:row>
    <x:row r="26" ht="23" customHeight="1">
      <x:c r="A26" s="21" t="str">
        <x:v>GRP-004</x:v>
      </x:c>
      <x:c r="B26" s="22" t="str">
        <x:v>千夫所指人群</x:v>
      </x:c>
      <x:c r="C26" s="22" t="str">
        <x:v>人物群组</x:v>
      </x:c>
      <x:c r="D26" s="21" t="str">
        <x:v>低优先级</x:v>
      </x:c>
      <x:c r="E26" s="1"/>
      <x:c r="F26" s="1"/>
      <x:c r="G26" s="1"/>
    </x:row>
    <x:row r="27" ht="23" customHeight="1">
      <x:c r="A27" s="21" t="str">
        <x:v>SCN-001</x:v>
      </x:c>
      <x:c r="B27" s="22" t="str">
        <x:v>佛国寺院完整空间</x:v>
      </x:c>
      <x:c r="C27" s="22" t="str">
        <x:v>场景-组合对象</x:v>
      </x:c>
      <x:c r="D27" s="21" t="str">
        <x:v>核心级</x:v>
      </x:c>
      <x:c r="E27" s="1"/>
      <x:c r="F27" s="1"/>
      <x:c r="G27" s="1"/>
    </x:row>
    <x:row r="28" ht="23" customHeight="1">
      <x:c r="A28" s="21" t="str">
        <x:v>SCN-002</x:v>
      </x:c>
      <x:c r="B28" s="22" t="str">
        <x:v>佛国寺宇远山远景</x:v>
      </x:c>
      <x:c r="C28" s="22" t="str">
        <x:v>场景-组成对象</x:v>
      </x:c>
      <x:c r="D28" s="21" t="str">
        <x:v>高优先级</x:v>
      </x:c>
      <x:c r="E28" s="1"/>
      <x:c r="F28" s="1"/>
      <x:c r="G28" s="1"/>
    </x:row>
    <x:row r="29" ht="23" customHeight="1">
      <x:c r="A29" s="21" t="str">
        <x:v>SCN-003</x:v>
      </x:c>
      <x:c r="B29" s="22" t="str">
        <x:v>佛殿内景</x:v>
      </x:c>
      <x:c r="C29" s="22" t="str">
        <x:v>场景-组成对象</x:v>
      </x:c>
      <x:c r="D29" s="21" t="str">
        <x:v>核心级</x:v>
      </x:c>
      <x:c r="E29" s="1"/>
      <x:c r="F29" s="1"/>
      <x:c r="G29" s="1"/>
    </x:row>
    <x:row r="30" ht="23" customHeight="1">
      <x:c r="A30" s="21" t="str">
        <x:v>SCN-004</x:v>
      </x:c>
      <x:c r="B30" s="22" t="str">
        <x:v>寺院庭院与树下讲经区</x:v>
      </x:c>
      <x:c r="C30" s="22" t="str">
        <x:v>场景-组成对象</x:v>
      </x:c>
      <x:c r="D30" s="21" t="str">
        <x:v>核心级</x:v>
      </x:c>
      <x:c r="E30" s="1"/>
      <x:c r="F30" s="1"/>
      <x:c r="G30" s="1"/>
    </x:row>
    <x:row r="31" ht="23" customHeight="1">
      <x:c r="A31" s="21" t="str">
        <x:v>SET-001</x:v>
      </x:c>
      <x:c r="B31" s="22" t="str">
        <x:v>佛国讲经树</x:v>
      </x:c>
      <x:c r="C31" s="22" t="str">
        <x:v>场景组成-植物</x:v>
      </x:c>
      <x:c r="D31" s="21" t="str">
        <x:v>高优先级</x:v>
      </x:c>
      <x:c r="E31" s="1"/>
      <x:c r="F31" s="1"/>
      <x:c r="G31" s="1"/>
    </x:row>
    <x:row r="32" ht="23" customHeight="1">
      <x:c r="A32" s="21" t="str">
        <x:v>SCN-005</x:v>
      </x:c>
      <x:c r="B32" s="22" t="str">
        <x:v>王府低饱和深院</x:v>
      </x:c>
      <x:c r="C32" s="22" t="str">
        <x:v>场景</x:v>
      </x:c>
      <x:c r="D32" s="21" t="str">
        <x:v>高优先级</x:v>
      </x:c>
      <x:c r="E32" s="1"/>
      <x:c r="F32" s="1"/>
      <x:c r="G32" s="1"/>
    </x:row>
    <x:row r="33" ht="23" customHeight="1">
      <x:c r="A33" s="21" t="str">
        <x:v>SCN-006</x:v>
      </x:c>
      <x:c r="B33" s="22" t="str">
        <x:v>灯下依偎空间</x:v>
      </x:c>
      <x:c r="C33" s="22" t="str">
        <x:v>场景</x:v>
      </x:c>
      <x:c r="D33" s="21" t="str">
        <x:v>中优先级</x:v>
      </x:c>
      <x:c r="E33" s="1"/>
      <x:c r="F33" s="1"/>
      <x:c r="G33" s="1"/>
    </x:row>
    <x:row r="34" ht="23" customHeight="1">
      <x:c r="A34" s="21" t="str">
        <x:v>SCN-007</x:v>
      </x:c>
      <x:c r="B34" s="22" t="str">
        <x:v>帘后喜乐空间</x:v>
      </x:c>
      <x:c r="C34" s="22" t="str">
        <x:v>场景</x:v>
      </x:c>
      <x:c r="D34" s="21" t="str">
        <x:v>高优先级</x:v>
      </x:c>
      <x:c r="E34" s="1"/>
      <x:c r="F34" s="1"/>
      <x:c r="G34" s="1"/>
    </x:row>
    <x:row r="35" ht="23" customHeight="1">
      <x:c r="A35" s="21" t="str">
        <x:v>SCN-008</x:v>
      </x:c>
      <x:c r="B35" s="22" t="str">
        <x:v>宫廷垂帘高位与处置案前</x:v>
      </x:c>
      <x:c r="C35" s="22" t="str">
        <x:v>场景</x:v>
      </x:c>
      <x:c r="D35" s="21" t="str">
        <x:v>高优先级</x:v>
      </x:c>
      <x:c r="E35" s="1"/>
      <x:c r="F35" s="1"/>
      <x:c r="G35" s="1"/>
    </x:row>
    <x:row r="36" ht="23" customHeight="1">
      <x:c r="A36" s="21" t="str">
        <x:v>SCN-009</x:v>
      </x:c>
      <x:c r="B36" s="22" t="str">
        <x:v>毒酒处置空间</x:v>
      </x:c>
      <x:c r="C36" s="22" t="str">
        <x:v>场景</x:v>
      </x:c>
      <x:c r="D36" s="21" t="str">
        <x:v>中优先级</x:v>
      </x:c>
      <x:c r="E36" s="1"/>
      <x:c r="F36" s="1"/>
      <x:c r="G36" s="1"/>
    </x:row>
    <x:row r="37" ht="23" customHeight="1">
      <x:c r="A37" s="21" t="str">
        <x:v>SCN-010</x:v>
      </x:c>
      <x:c r="B37" s="22" t="str">
        <x:v>宫门反噬空间</x:v>
      </x:c>
      <x:c r="C37" s="22" t="str">
        <x:v>场景</x:v>
      </x:c>
      <x:c r="D37" s="21" t="str">
        <x:v>高优先级</x:v>
      </x:c>
      <x:c r="E37" s="1"/>
      <x:c r="F37" s="1"/>
      <x:c r="G37" s="1"/>
    </x:row>
    <x:row r="38" ht="23" customHeight="1">
      <x:c r="A38" s="21" t="str">
        <x:v>SCN-011</x:v>
      </x:c>
      <x:c r="B38" s="22" t="str">
        <x:v>流放长路</x:v>
      </x:c>
      <x:c r="C38" s="22" t="str">
        <x:v>场景</x:v>
      </x:c>
      <x:c r="D38" s="21" t="str">
        <x:v>低优先级</x:v>
      </x:c>
      <x:c r="E38" s="1"/>
      <x:c r="F38" s="1"/>
      <x:c r="G38" s="1"/>
    </x:row>
    <x:row r="39" ht="23" customHeight="1">
      <x:c r="A39" s="21" t="str">
        <x:v>PRP-001</x:v>
      </x:c>
      <x:c r="B39" s="22" t="str">
        <x:v>女主灰白念珠</x:v>
      </x:c>
      <x:c r="C39" s="22" t="str">
        <x:v>道具-基础对象</x:v>
      </x:c>
      <x:c r="D39" s="21" t="str">
        <x:v>核心级</x:v>
      </x:c>
      <x:c r="E39" s="1"/>
      <x:c r="F39" s="1"/>
      <x:c r="G39" s="1"/>
    </x:row>
    <x:row r="40" ht="23" customHeight="1">
      <x:c r="A40" s="21" t="str">
        <x:v>PRP-002</x:v>
      </x:c>
      <x:c r="B40" s="22" t="str">
        <x:v>佛国群体念珠组</x:v>
      </x:c>
      <x:c r="C40" s="22" t="str">
        <x:v>道具-组合对象</x:v>
      </x:c>
      <x:c r="D40" s="21" t="str">
        <x:v>高优先级</x:v>
      </x:c>
      <x:c r="E40" s="1"/>
      <x:c r="F40" s="1"/>
      <x:c r="G40" s="1"/>
    </x:row>
    <x:row r="41" ht="23" customHeight="1">
      <x:c r="A41" s="21" t="str">
        <x:v>PRP-003</x:v>
      </x:c>
      <x:c r="B41" s="22" t="str">
        <x:v>青绿落叶</x:v>
      </x:c>
      <x:c r="C41" s="22" t="str">
        <x:v>道具-稳定母题对象</x:v>
      </x:c>
      <x:c r="D41" s="21" t="str">
        <x:v>核心级</x:v>
      </x:c>
      <x:c r="E41" s="1"/>
      <x:c r="F41" s="1"/>
      <x:c r="G41" s="1"/>
    </x:row>
    <x:row r="42" ht="23" customHeight="1">
      <x:c r="A42" s="21" t="str">
        <x:v>PRP-004</x:v>
      </x:c>
      <x:c r="B42" s="22" t="str">
        <x:v>发簪</x:v>
      </x:c>
      <x:c r="C42" s="22" t="str">
        <x:v>道具</x:v>
      </x:c>
      <x:c r="D42" s="21" t="str">
        <x:v>高优先级</x:v>
      </x:c>
      <x:c r="E42" s="1"/>
      <x:c r="F42" s="1"/>
      <x:c r="G42" s="1"/>
    </x:row>
    <x:row r="43" ht="23" customHeight="1">
      <x:c r="A43" s="21" t="str">
        <x:v>PRP-005</x:v>
      </x:c>
      <x:c r="B43" s="22" t="str">
        <x:v>宫廷印章</x:v>
      </x:c>
      <x:c r="C43" s="22" t="str">
        <x:v>道具</x:v>
      </x:c>
      <x:c r="D43" s="21" t="str">
        <x:v>高优先级</x:v>
      </x:c>
      <x:c r="E43" s="1"/>
      <x:c r="F43" s="1"/>
      <x:c r="G43" s="1"/>
    </x:row>
    <x:row r="44" ht="23" customHeight="1">
      <x:c r="A44" s="21" t="str">
        <x:v>PRP-006</x:v>
      </x:c>
      <x:c r="B44" s="22" t="str">
        <x:v>处置诏书</x:v>
      </x:c>
      <x:c r="C44" s="22" t="str">
        <x:v>道具</x:v>
      </x:c>
      <x:c r="D44" s="21" t="str">
        <x:v>中优先级</x:v>
      </x:c>
      <x:c r="E44" s="1"/>
      <x:c r="F44" s="1"/>
      <x:c r="G44" s="1"/>
    </x:row>
    <x:row r="45" ht="23" customHeight="1">
      <x:c r="A45" s="21" t="str">
        <x:v>PRP-007</x:v>
      </x:c>
      <x:c r="B45" s="22" t="str">
        <x:v>毒酒酒杯</x:v>
      </x:c>
      <x:c r="C45" s="22" t="str">
        <x:v>道具-组合对象</x:v>
      </x:c>
      <x:c r="D45" s="21" t="str">
        <x:v>高优先级</x:v>
      </x:c>
      <x:c r="E45" s="1"/>
      <x:c r="F45" s="1"/>
      <x:c r="G45" s="1"/>
    </x:row>
    <x:row r="46" ht="23" customHeight="1">
      <x:c r="A46" s="21" t="str">
        <x:v>PRP-008</x:v>
      </x:c>
      <x:c r="B46" s="22" t="str">
        <x:v>空床</x:v>
      </x:c>
      <x:c r="C46" s="22" t="str">
        <x:v>道具-场景主体</x:v>
      </x:c>
      <x:c r="D46" s="21" t="str">
        <x:v>中优先级</x:v>
      </x:c>
      <x:c r="E46" s="1"/>
      <x:c r="F46" s="1"/>
      <x:c r="G46" s="1"/>
    </x:row>
    <x:row r="47" ht="23" customHeight="1">
      <x:c r="A47" s="21" t="str">
        <x:v>PRP-009</x:v>
      </x:c>
      <x:c r="B47" s="22" t="str">
        <x:v>白绫</x:v>
      </x:c>
      <x:c r="C47" s="22" t="str">
        <x:v>道具</x:v>
      </x:c>
      <x:c r="D47" s="21" t="str">
        <x:v>低优先级</x:v>
      </x:c>
      <x:c r="E47" s="1"/>
      <x:c r="F47" s="1"/>
      <x:c r="G47" s="1"/>
    </x:row>
    <x:row r="48" ht="23" customHeight="1">
      <x:c r="A48" s="21" t="str">
        <x:v>PRP-010</x:v>
      </x:c>
      <x:c r="B48" s="22" t="str">
        <x:v>刀锋</x:v>
      </x:c>
      <x:c r="C48" s="22" t="str">
        <x:v>道具</x:v>
      </x:c>
      <x:c r="D48" s="21" t="str">
        <x:v>低优先级</x:v>
      </x:c>
      <x:c r="E48" s="1"/>
      <x:c r="F48" s="1"/>
      <x:c r="G48" s="1"/>
    </x:row>
    <x:row r="49" ht="23" customHeight="1">
      <x:c r="A49" s="21" t="str">
        <x:v>GFX-001</x:v>
      </x:c>
      <x:c r="B49" s="22" t="str">
        <x:v>《阿修罗》片名字</x:v>
      </x:c>
      <x:c r="C49" s="22" t="str">
        <x:v>图文资产</x:v>
      </x:c>
      <x:c r="D49" s="21" t="str">
        <x:v>高优先级</x:v>
      </x:c>
      <x:c r="E49" s="1"/>
      <x:c r="F49" s="1"/>
      <x:c r="G49" s="1"/>
    </x:row>
    <x:row r="50" ht="23" customHeight="1">
      <x:c r="A50" s="21" t="str">
        <x:v>VFX-001</x:v>
      </x:c>
      <x:c r="B50" s="22" t="str">
        <x:v>真实烛火显现</x:v>
      </x:c>
      <x:c r="C50" s="22" t="str">
        <x:v>VFX-独立视觉对象</x:v>
      </x:c>
      <x:c r="D50" s="21" t="str">
        <x:v>中优先级</x:v>
      </x:c>
      <x:c r="E50" s="1"/>
      <x:c r="F50" s="1"/>
      <x:c r="G50" s="1"/>
    </x:row>
    <x:row r="51" ht="23" customHeight="1">
      <x:c r="A51" s="21" t="str">
        <x:v>VFX-002</x:v>
      </x:c>
      <x:c r="B51" s="22" t="str">
        <x:v>女主主观照见中的眼睛</x:v>
      </x:c>
      <x:c r="C51" s="22" t="str">
        <x:v>VFX-稳定视觉母题</x:v>
      </x:c>
      <x:c r="D51" s="21" t="str">
        <x:v>核心级</x:v>
      </x:c>
      <x:c r="E51" s="1"/>
      <x:c r="F51" s="1"/>
      <x:c r="G51" s="1"/>
    </x:row>
    <x:row r="52" ht="23" customHeight="1">
      <x:c r="A52" s="21" t="str">
        <x:v>VFX-003</x:v>
      </x:c>
      <x:c r="B52" s="22" t="str">
        <x:v>心远空间扩张与时间褪色效果</x:v>
      </x:c>
      <x:c r="C52" s="22" t="str">
        <x:v>VFX-组合效果</x:v>
      </x:c>
      <x:c r="D52" s="21" t="str">
        <x:v>高优先级</x:v>
      </x:c>
      <x:c r="E52" s="1"/>
      <x:c r="F52" s="1"/>
      <x:c r="G52" s="1"/>
    </x:row>
    <x:row r="53" ht="23" customHeight="1">
      <x:c r="A53" s="21" t="str">
        <x:v>VFX-004</x:v>
      </x:c>
      <x:c r="B53" s="22" t="str">
        <x:v>掌纹极暗血色闪现</x:v>
      </x:c>
      <x:c r="C53" s="22" t="str">
        <x:v>VFX</x:v>
      </x:c>
      <x:c r="D53" s="21" t="str">
        <x:v>中优先级</x:v>
      </x:c>
      <x:c r="E53" s="1"/>
      <x:c r="F53" s="1"/>
      <x:c r="G53" s="1"/>
    </x:row>
    <x:row r="54" ht="23" customHeight="1">
      <x:c r="A54" s="21" t="str">
        <x:v>VFX-005</x:v>
      </x:c>
      <x:c r="B54" s="22" t="str">
        <x:v>反噬人生火光层</x:v>
      </x:c>
      <x:c r="C54" s="22" t="str">
        <x:v>VFX-环境层</x:v>
      </x:c>
      <x:c r="D54" s="21" t="str">
        <x:v>低优先级</x:v>
      </x:c>
      <x:c r="E54" s="1"/>
      <x:c r="F54" s="1"/>
      <x:c r="G54" s="1"/>
    </x:row>
    <x:row r="55" ht="23" customHeight="1">
      <x:c r="A55" s="21" t="str">
        <x:v>VFX-006</x:v>
      </x:c>
      <x:c r="B55" s="22" t="str">
        <x:v>反噬人生风雪层</x:v>
      </x:c>
      <x:c r="C55" s="22" t="str">
        <x:v>VFX-环境层</x:v>
      </x:c>
      <x:c r="D55" s="21" t="str">
        <x:v>低优先级</x:v>
      </x:c>
      <x:c r="E55" s="1"/>
      <x:c r="F55" s="1"/>
      <x:c r="G55" s="1"/>
    </x:row>
    <x:row r="56" ht="23" customHeight="1">
      <x:c r="A56" s="21" t="str">
        <x:v>VFX-007</x:v>
      </x:c>
      <x:c r="B56" s="22" t="str">
        <x:v>殿门光柱与尘粒</x:v>
      </x:c>
      <x:c r="C56" s="22" t="str">
        <x:v>VFX-稳定环境效果</x:v>
      </x:c>
      <x:c r="D56" s="21" t="str">
        <x:v>核心级</x:v>
      </x:c>
      <x:c r="E56" s="1"/>
      <x:c r="F56" s="1"/>
      <x:c r="G56" s="1"/>
    </x:row>
    <x:row r="57" ht="23" customHeight="1">
      <x:c r="A57" s="21" t="str">
        <x:v>SND-001</x:v>
      </x:c>
      <x:c r="B57" s="22" t="str">
        <x:v>女主／阿修罗声音</x:v>
      </x:c>
      <x:c r="C57" s="22" t="str">
        <x:v>声音-角色声音</x:v>
      </x:c>
      <x:c r="D57" s="21" t="str">
        <x:v>核心级</x:v>
      </x:c>
      <x:c r="E57" s="1"/>
      <x:c r="F57" s="1"/>
      <x:c r="G57" s="1"/>
    </x:row>
    <x:row r="58" ht="23" customHeight="1">
      <x:c r="A58" s="21" t="str">
        <x:v>SND-002</x:v>
      </x:c>
      <x:c r="B58" s="22" t="str">
        <x:v>佛声（远距讲经）</x:v>
      </x:c>
      <x:c r="C58" s="22" t="str">
        <x:v>声音-角色声音</x:v>
      </x:c>
      <x:c r="D58" s="21" t="str">
        <x:v>高优先级</x:v>
      </x:c>
      <x:c r="E58" s="1"/>
      <x:c r="F58" s="1"/>
      <x:c r="G58" s="1"/>
    </x:row>
    <x:row r="59" ht="23" customHeight="1">
      <x:c r="A59" s="21" t="str">
        <x:v>SND-003</x:v>
      </x:c>
      <x:c r="B59" s="22" t="str">
        <x:v>佛国梵呗与众声低诵</x:v>
      </x:c>
      <x:c r="C59" s="22" t="str">
        <x:v>声音-群体声音</x:v>
      </x:c>
      <x:c r="D59" s="21" t="str">
        <x:v>核心级</x:v>
      </x:c>
      <x:c r="E59" s="1"/>
      <x:c r="F59" s="1"/>
      <x:c r="G59" s="1"/>
    </x:row>
    <x:row r="60" ht="23" customHeight="1">
      <x:c r="A60" s="21" t="str">
        <x:v>SND-004</x:v>
      </x:c>
      <x:c r="B60" s="22" t="str">
        <x:v>轮回问句多声部</x:v>
      </x:c>
      <x:c r="C60" s="22" t="str">
        <x:v>声音-群体声音</x:v>
      </x:c>
      <x:c r="D60" s="21" t="str">
        <x:v>中优先级</x:v>
      </x:c>
      <x:c r="E60" s="1"/>
      <x:c r="F60" s="1"/>
      <x:c r="G60" s="1"/>
    </x:row>
    <x:row r="61" ht="23" customHeight="1">
      <x:c r="A61" s="21" t="str">
        <x:v>SND-005</x:v>
      </x:c>
      <x:c r="B61" s="22" t="str">
        <x:v>念珠声音系统</x:v>
      </x:c>
      <x:c r="C61" s="22" t="str">
        <x:v>声音-核心母题</x:v>
      </x:c>
      <x:c r="D61" s="21" t="str">
        <x:v>核心级</x:v>
      </x:c>
      <x:c r="E61" s="1"/>
      <x:c r="F61" s="1"/>
      <x:c r="G61" s="1"/>
    </x:row>
    <x:row r="62" ht="23" customHeight="1">
      <x:c r="A62" s="21" t="str">
        <x:v>SND-006</x:v>
      </x:c>
      <x:c r="B62" s="22" t="str">
        <x:v>木鱼声</x:v>
      </x:c>
      <x:c r="C62" s="22" t="str">
        <x:v>声音-核心母题</x:v>
      </x:c>
      <x:c r="D62" s="21" t="str">
        <x:v>核心级</x:v>
      </x:c>
      <x:c r="E62" s="1"/>
      <x:c r="F62" s="1"/>
      <x:c r="G62" s="1"/>
    </x:row>
    <x:row r="63" ht="23" customHeight="1">
      <x:c r="A63" s="21" t="str">
        <x:v>SND-007</x:v>
      </x:c>
      <x:c r="B63" s="22" t="str">
        <x:v>磬声</x:v>
      </x:c>
      <x:c r="C63" s="22" t="str">
        <x:v>声音-核心母题</x:v>
      </x:c>
      <x:c r="D63" s="21" t="str">
        <x:v>高优先级</x:v>
      </x:c>
      <x:c r="E63" s="1"/>
      <x:c r="F63" s="1"/>
      <x:c r="G63" s="1"/>
    </x:row>
    <x:row r="64" ht="23" customHeight="1">
      <x:c r="A64" s="21" t="str">
        <x:v>SND-008</x:v>
      </x:c>
      <x:c r="B64" s="22" t="str">
        <x:v>女主呼吸</x:v>
      </x:c>
      <x:c r="C64" s="22" t="str">
        <x:v>声音-角色动作</x:v>
      </x:c>
      <x:c r="D64" s="21" t="str">
        <x:v>核心级</x:v>
      </x:c>
      <x:c r="E64" s="1"/>
      <x:c r="F64" s="1"/>
      <x:c r="G64" s="1"/>
    </x:row>
    <x:row r="65" ht="23" customHeight="1">
      <x:c r="A65" s="21" t="str">
        <x:v>SND-009</x:v>
      </x:c>
      <x:c r="B65" s="22" t="str">
        <x:v>佛国群体呼吸</x:v>
      </x:c>
      <x:c r="C65" s="22" t="str">
        <x:v>声音-群体动作</x:v>
      </x:c>
      <x:c r="D65" s="21" t="str">
        <x:v>高优先级</x:v>
      </x:c>
      <x:c r="E65" s="1"/>
      <x:c r="F65" s="1"/>
      <x:c r="G65" s="1"/>
    </x:row>
    <x:row r="66" ht="23" customHeight="1">
      <x:c r="A66" s="21" t="str">
        <x:v>SND-010</x:v>
      </x:c>
      <x:c r="B66" s="22" t="str">
        <x:v>人间心跳</x:v>
      </x:c>
      <x:c r="C66" s="22" t="str">
        <x:v>声音-核心母题</x:v>
      </x:c>
      <x:c r="D66" s="21" t="str">
        <x:v>核心级</x:v>
      </x:c>
      <x:c r="E66" s="1"/>
      <x:c r="F66" s="1"/>
      <x:c r="G66" s="1"/>
    </x:row>
    <x:row r="67" ht="23" customHeight="1">
      <x:c r="A67" s="21" t="str">
        <x:v>SND-011</x:v>
      </x:c>
      <x:c r="B67" s="22" t="str">
        <x:v>衣料与衣袍声音</x:v>
      </x:c>
      <x:c r="C67" s="22" t="str">
        <x:v>声音-材质动作</x:v>
      </x:c>
      <x:c r="D67" s="21" t="str">
        <x:v>中优先级</x:v>
      </x:c>
      <x:c r="E67" s="1"/>
      <x:c r="F67" s="1"/>
      <x:c r="G67" s="1"/>
    </x:row>
    <x:row r="68" ht="23" customHeight="1">
      <x:c r="A68" s="21" t="str">
        <x:v>SND-012</x:v>
      </x:c>
      <x:c r="B68" s="22" t="str">
        <x:v>水滴落入深井声</x:v>
      </x:c>
      <x:c r="C68" s="22" t="str">
        <x:v>声音-因果母题</x:v>
      </x:c>
      <x:c r="D68" s="21" t="str">
        <x:v>核心级</x:v>
      </x:c>
      <x:c r="E68" s="1"/>
      <x:c r="F68" s="1"/>
      <x:c r="G68" s="1"/>
    </x:row>
    <x:row r="69" ht="23" customHeight="1">
      <x:c r="A69" s="21" t="str">
        <x:v>SND-013</x:v>
      </x:c>
      <x:c r="B69" s="22" t="str">
        <x:v>佛国外景松涛与淡风</x:v>
      </x:c>
      <x:c r="C69" s="22" t="str">
        <x:v>声音-环境</x:v>
      </x:c>
      <x:c r="D69" s="21" t="str">
        <x:v>中优先级</x:v>
      </x:c>
      <x:c r="E69" s="1"/>
      <x:c r="F69" s="1"/>
      <x:c r="G69" s="1"/>
    </x:row>
    <x:row r="70" ht="23" customHeight="1">
      <x:c r="A70" s="21" t="str">
        <x:v>SND-014</x:v>
      </x:c>
      <x:c r="B70" s="22" t="str">
        <x:v>灯芯爆裂声</x:v>
      </x:c>
      <x:c r="C70" s="22" t="str">
        <x:v>声音-单次动作</x:v>
      </x:c>
      <x:c r="D70" s="21" t="str">
        <x:v>低优先级</x:v>
      </x:c>
      <x:c r="E70" s="1"/>
      <x:c r="F70" s="1"/>
      <x:c r="G70" s="1"/>
    </x:row>
    <x:row r="71" ht="23" customHeight="1">
      <x:c r="A71" s="21" t="str">
        <x:v>SND-015</x:v>
      </x:c>
      <x:c r="B71" s="22" t="str">
        <x:v>得到爱短弦乐句</x:v>
      </x:c>
      <x:c r="C71" s="22" t="str">
        <x:v>声音-音乐片段</x:v>
      </x:c>
      <x:c r="D71" s="21" t="str">
        <x:v>中优先级</x:v>
      </x:c>
      <x:c r="E71" s="1"/>
      <x:c r="F71" s="1"/>
      <x:c r="G71" s="1"/>
    </x:row>
    <x:row r="72" ht="23" customHeight="1">
      <x:c r="A72" s="21" t="str">
        <x:v>SND-016</x:v>
      </x:c>
      <x:c r="B72" s="22" t="str">
        <x:v>隔门喜乐声</x:v>
      </x:c>
      <x:c r="C72" s="22" t="str">
        <x:v>声音-环境音乐</x:v>
      </x:c>
      <x:c r="D72" s="21" t="str">
        <x:v>中优先级</x:v>
      </x:c>
      <x:c r="E72" s="1"/>
      <x:c r="F72" s="1"/>
      <x:c r="G72" s="1"/>
    </x:row>
    <x:row r="73" ht="23" customHeight="1">
      <x:c r="A73" s="21" t="str">
        <x:v>SND-017</x:v>
      </x:c>
      <x:c r="B73" s="22" t="str">
        <x:v>杯沿轻碰声</x:v>
      </x:c>
      <x:c r="C73" s="22" t="str">
        <x:v>声音-单次动作</x:v>
      </x:c>
      <x:c r="D73" s="21" t="str">
        <x:v>低优先级</x:v>
      </x:c>
      <x:c r="E73" s="1"/>
      <x:c r="F73" s="1"/>
      <x:c r="G73" s="1"/>
    </x:row>
    <x:row r="74" ht="23" customHeight="1">
      <x:c r="A74" s="21" t="str">
        <x:v>SND-018</x:v>
      </x:c>
      <x:c r="B74" s="22" t="str">
        <x:v>琴弦断裂声</x:v>
      </x:c>
      <x:c r="C74" s="22" t="str">
        <x:v>声音-因果动作</x:v>
      </x:c>
      <x:c r="D74" s="21" t="str">
        <x:v>高优先级</x:v>
      </x:c>
      <x:c r="E74" s="1"/>
      <x:c r="F74" s="1"/>
      <x:c r="G74" s="1"/>
    </x:row>
    <x:row r="75" ht="23" customHeight="1">
      <x:c r="A75" s="21" t="str">
        <x:v>SND-019</x:v>
      </x:c>
      <x:c r="B75" s="22" t="str">
        <x:v>宫廷低鼓</x:v>
      </x:c>
      <x:c r="C75" s="22" t="str">
        <x:v>声音-音乐动作</x:v>
      </x:c>
      <x:c r="D75" s="21" t="str">
        <x:v>中优先级</x:v>
      </x:c>
      <x:c r="E75" s="1"/>
      <x:c r="F75" s="1"/>
      <x:c r="G75" s="1"/>
    </x:row>
    <x:row r="76" ht="23" customHeight="1">
      <x:c r="A76" s="21" t="str">
        <x:v>SND-020</x:v>
      </x:c>
      <x:c r="B76" s="22" t="str">
        <x:v>落印与酒杯触案匹配撞击</x:v>
      </x:c>
      <x:c r="C76" s="22" t="str">
        <x:v>声音-组合效果</x:v>
      </x:c>
      <x:c r="D76" s="21" t="str">
        <x:v>高优先级</x:v>
      </x:c>
      <x:c r="E76" s="1"/>
      <x:c r="F76" s="1"/>
      <x:c r="G76" s="1"/>
    </x:row>
    <x:row r="77" ht="23" customHeight="1">
      <x:c r="A77" s="21" t="str">
        <x:v>SND-021</x:v>
      </x:c>
      <x:c r="B77" s="22" t="str">
        <x:v>宫门关闭与门轴轰鸣</x:v>
      </x:c>
      <x:c r="C77" s="22" t="str">
        <x:v>声音-环境动作</x:v>
      </x:c>
      <x:c r="D77" s="21" t="str">
        <x:v>高优先级</x:v>
      </x:c>
      <x:c r="E77" s="1"/>
      <x:c r="F77" s="1"/>
      <x:c r="G77" s="1"/>
    </x:row>
    <x:row r="78" ht="23" customHeight="1">
      <x:c r="A78" s="21" t="str">
        <x:v>SND-022</x:v>
      </x:c>
      <x:c r="B78" s="22" t="str">
        <x:v>风雪声</x:v>
      </x:c>
      <x:c r="C78" s="22" t="str">
        <x:v>声音-环境</x:v>
      </x:c>
      <x:c r="D78" s="21" t="str">
        <x:v>中优先级</x:v>
      </x:c>
      <x:c r="E78" s="1"/>
      <x:c r="F78" s="1"/>
      <x:c r="G78" s="1"/>
    </x:row>
    <x:row r="79" ht="23" customHeight="1">
      <x:c r="A79" s="21" t="str">
        <x:v>SND-023</x:v>
      </x:c>
      <x:c r="B79" s="22" t="str">
        <x:v>短促低频嗡鸣</x:v>
      </x:c>
      <x:c r="C79" s="22" t="str">
        <x:v>声音-转折辅助</x:v>
      </x:c>
      <x:c r="D79" s="21" t="str">
        <x:v>低优先级</x:v>
      </x:c>
      <x:c r="E79" s="1"/>
      <x:c r="F79" s="1"/>
      <x:c r="G79" s="1"/>
    </x:row>
  </x:sheetData>
  <x:conditionalFormatting sqref="D8:D79">
    <x:cfRule type="containsText" dxfId="0" priority="1" operator="containsText" text="核心级"/>
    <x:cfRule type="containsText" dxfId="1" priority="2" operator="containsText" text="高优先级"/>
    <x:cfRule type="containsText" dxfId="2" priority="3" operator="containsText" text="中优先级"/>
    <x:cfRule type="containsText" dxfId="3" priority="4" operator="containsText" text="低优先级"/>
  </x:conditionalFormatting>
  <x:pageMargins left="0.7" right="0.7" top="0.75" bottom="0.75" header="0.3" footer="0.3"/>
  <x:tableParts count="1">
    <x:tablePart xmlns:r="http://schemas.openxmlformats.org/officeDocument/2006/relationships" r:id="R06a83d90e1b04f39"/>
  </x:tableParts>
</x:worksheet>
</file>