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4808bbdde14f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ea9c362de4f645e2"/>
    <x:sheet xmlns:r="http://schemas.openxmlformats.org/officeDocument/2006/relationships" name="资产主表" sheetId="2" r:id="R8433d21459df422d"/>
    <x:sheet xmlns:r="http://schemas.openxmlformats.org/officeDocument/2006/relationships" name="角色服装" sheetId="3" r:id="R101f162548974bfa"/>
    <x:sheet xmlns:r="http://schemas.openxmlformats.org/officeDocument/2006/relationships" name="人物声音" sheetId="4" r:id="R9612fe42ad9e499a"/>
    <x:sheet xmlns:r="http://schemas.openxmlformats.org/officeDocument/2006/relationships" name="场景" sheetId="5" r:id="Rf2c6722a9cce40c8"/>
    <x:sheet xmlns:r="http://schemas.openxmlformats.org/officeDocument/2006/relationships" name="光影" sheetId="6" r:id="R4e921ae01203465b"/>
    <x:sheet xmlns:r="http://schemas.openxmlformats.org/officeDocument/2006/relationships" name="道具" sheetId="7" r:id="Rf712971e25dc42eb"/>
    <x:sheet xmlns:r="http://schemas.openxmlformats.org/officeDocument/2006/relationships" name="VFX群演文字" sheetId="8" r:id="R3ebf05013f214be7"/>
    <x:sheet xmlns:r="http://schemas.openxmlformats.org/officeDocument/2006/relationships" name="声音母题" sheetId="9" r:id="Ra5056d74905b423a"/>
    <x:sheet xmlns:r="http://schemas.openxmlformats.org/officeDocument/2006/relationships" name="连续性" sheetId="10" r:id="Red838ffcedbd45b6"/>
    <x:sheet xmlns:r="http://schemas.openxmlformats.org/officeDocument/2006/relationships" name="场景视图" sheetId="11" r:id="Rd6671771101a458e"/>
    <x:sheet xmlns:r="http://schemas.openxmlformats.org/officeDocument/2006/relationships" name="生产包" sheetId="12" r:id="Rc4e0365888024fef"/>
    <x:sheet xmlns:r="http://schemas.openxmlformats.org/officeDocument/2006/relationships" name="轮回设计" sheetId="13" r:id="R7427dc3bbdd248e7"/>
    <x:sheet xmlns:r="http://schemas.openxmlformats.org/officeDocument/2006/relationships" name="主创确认" sheetId="14" r:id="Raebcf4a4794d48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sz val="10"/>
      <x:color rgb="FF6B7280"/>
      <x:name val="Carlito"/>
    </x:font>
    <x:font>
      <x:sz val="10"/>
      <x:name val="Microsoft YaHei"/>
    </x:font>
    <x:font>
      <x:b/>
      <x:sz val="10"/>
      <x:color rgb="FFFFFFFF"/>
      <x:name val="Microsoft YaHei"/>
    </x:font>
    <x:font>
      <x:b/>
      <x:sz val="16"/>
      <x:color rgb="FFFFFFFF"/>
      <x:name val="Carlito"/>
    </x:font>
    <x:font>
      <x:sz val="9"/>
      <x:color rgb="FF20242C"/>
      <x:name val="Microsoft YaHei"/>
    </x:font>
    <x:font>
      <x:b/>
      <x:sz val="9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F2A44"/>
      </x:patternFill>
    </x:fill>
    <x:fill>
      <x:patternFill patternType="solid">
        <x:fgColor rgb="FFEAF1F1"/>
      </x:patternFill>
    </x:fill>
    <x:fill>
      <x:patternFill patternType="solid">
        <x:fgColor rgb="FF2E6F73"/>
      </x:patternFill>
    </x:fill>
  </x:fills>
  <x:borders count="6">
    <x:border/>
    <x:border>
      <x:left style="thin">
        <x:color rgb="FFD6DCE5"/>
      </x:left>
      <x:right style="thin">
        <x:color rgb="FFD6DCE5"/>
      </x:right>
      <x:top style="thin">
        <x:color rgb="FFD6DCE5"/>
      </x:top>
      <x:bottom style="thin">
        <x:color rgb="FFD6DCE5"/>
      </x:bottom>
    </x:border>
    <x:border>
      <x:left style="thin">
        <x:color rgb="FFD6DCE5"/>
      </x:left>
      <x:top style="thin">
        <x:color rgb="FFD6DCE5"/>
      </x:top>
      <x:bottom style="thin">
        <x:color rgb="FFD6DCE5"/>
      </x:bottom>
    </x:border>
    <x:border>
      <x:top style="thin">
        <x:color rgb="FFD6DCE5"/>
      </x:top>
      <x:bottom style="thin">
        <x:color rgb="FFD6DCE5"/>
      </x:bottom>
    </x:border>
    <x:border>
      <x:right style="thin">
        <x:color rgb="FFD6DCE5"/>
      </x:right>
      <x:top style="thin">
        <x:color rgb="FFD6DCE5"/>
      </x:top>
      <x:bottom style="thin">
        <x:color rgb="FFD6DCE5"/>
      </x:bottom>
    </x:border>
    <x:border>
      <x:bottom style="thin">
        <x:color rgb="FFD6DCE5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top" wrapText="1"/>
    </x:xf>
    <x:xf numFmtId="0" fontId="7" fillId="4" borderId="2" xfId="0" applyNumberFormat="1" applyFont="1" applyFill="1" applyBorder="1" applyAlignment="1">
      <x:alignment vertical="top" wrapText="1"/>
    </x:xf>
    <x:xf numFmtId="0" fontId="7" fillId="4" borderId="3" xfId="0" applyNumberFormat="1" applyFont="1" applyFill="1" applyBorder="1" applyAlignment="1">
      <x:alignment vertical="top" wrapText="1"/>
    </x:xf>
    <x:xf numFmtId="0" fontId="7" fillId="4" borderId="4" xfId="0" applyNumberFormat="1" applyFont="1" applyFill="1" applyBorder="1" applyAlignment="1">
      <x:alignment vertical="top" wrapText="1"/>
    </x:xf>
    <x:xf numFmtId="0" fontId="7" fillId="4" borderId="2" xfId="0" applyNumberFormat="1" applyFont="1" applyFill="1" applyBorder="1" applyAlignment="1">
      <x:alignment horizontal="center" vertical="top" wrapText="1"/>
    </x:xf>
    <x:xf numFmtId="0" fontId="7" fillId="4" borderId="3" xfId="0" applyNumberFormat="1" applyFont="1" applyFill="1" applyBorder="1" applyAlignment="1">
      <x:alignment horizontal="center" vertical="top" wrapText="1"/>
    </x:xf>
    <x:xf numFmtId="0" fontId="7" fillId="4" borderId="4" xfId="0" applyNumberFormat="1" applyFont="1" applyFill="1" applyBorder="1" applyAlignment="1">
      <x:alignment horizontal="center" vertical="top" wrapText="1"/>
    </x:xf>
    <x:xf numFmtId="0" fontId="7" fillId="4" borderId="2" xfId="0" applyNumberFormat="1" applyFont="1" applyFill="1" applyBorder="1" applyAlignment="1">
      <x:alignment horizontal="center" vertical="center" wrapText="1"/>
    </x:xf>
    <x:xf numFmtId="0" fontId="7" fillId="4" borderId="3" xfId="0" applyNumberFormat="1" applyFont="1" applyFill="1" applyBorder="1" applyAlignment="1">
      <x:alignment horizontal="center" vertical="center" wrapText="1"/>
    </x:xf>
    <x:xf numFmtId="0" fontId="7" fillId="4" borderId="4" xfId="0" applyNumberFormat="1" applyFont="1" applyFill="1" applyBorder="1" applyAlignment="1">
      <x:alignment horizontal="center" vertical="center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12">
    <x:dxf>
      <x:font>
        <x:b/>
        <x:color rgb="FF9F1D20"/>
      </x:font>
      <x:fill>
        <x:patternFill patternType="solid">
          <x:bgColor rgb="FFFDE8E7"/>
        </x:patternFill>
      </x:fill>
    </x:dxf>
    <x:dxf>
      <x:font>
        <x:b/>
        <x:color rgb="FF8A5B00"/>
      </x:font>
      <x:fill>
        <x:patternFill patternType="solid">
          <x:bgColor rgb="FFFFF3D6"/>
        </x:patternFill>
      </x:fill>
    </x:dxf>
    <x:dxf>
      <x:font>
        <x:b/>
        <x:color rgb="FF2A5B8A"/>
      </x:font>
      <x:fill>
        <x:patternFill patternType="solid">
          <x:bgColor rgb="FFE8F0FA"/>
        </x:patternFill>
      </x:fill>
    </x:dxf>
    <x:dxf>
      <x:font>
        <x:b/>
        <x:color rgb="FF9F1D20"/>
      </x:font>
      <x:fill>
        <x:patternFill patternType="solid">
          <x:bgColor rgb="FFFDE8E7"/>
        </x:patternFill>
      </x:fill>
    </x:dxf>
    <x:dxf>
      <x:font>
        <x:b/>
        <x:color rgb="FF9F1D20"/>
      </x:font>
      <x:fill>
        <x:patternFill patternType="solid">
          <x:bgColor rgb="FFFDE8E7"/>
        </x:patternFill>
      </x:fill>
    </x:dxf>
    <x:dxf>
      <x:font>
        <x:b/>
        <x:color rgb="FF9F1D20"/>
      </x:font>
      <x:fill>
        <x:patternFill patternType="solid">
          <x:bgColor rgb="FFFDE8E7"/>
        </x:patternFill>
      </x:fill>
    </x:dxf>
    <x:dxf>
      <x:font>
        <x:b/>
        <x:color rgb="FF9F1D20"/>
      </x:font>
      <x:fill>
        <x:patternFill patternType="solid">
          <x:bgColor rgb="FFFDE8E7"/>
        </x:patternFill>
      </x:fill>
    </x:dxf>
    <x:dxf>
      <x:font>
        <x:b/>
        <x:color rgb="FF9F1D20"/>
      </x:font>
      <x:fill>
        <x:patternFill patternType="solid">
          <x:bgColor rgb="FFFDE8E7"/>
        </x:patternFill>
      </x:fill>
    </x:dxf>
    <x:dxf>
      <x:font>
        <x:b/>
        <x:color rgb="FF9F1D20"/>
      </x:font>
      <x:fill>
        <x:patternFill patternType="solid">
          <x:bgColor rgb="FFFDE8E7"/>
        </x:patternFill>
      </x:fill>
    </x:dxf>
    <x:dxf>
      <x:font>
        <x:b/>
        <x:color rgb="FF9F1D20"/>
      </x:font>
      <x:fill>
        <x:patternFill patternType="solid">
          <x:bgColor rgb="FFFDE8E7"/>
        </x:patternFill>
      </x:fill>
    </x:dxf>
    <x:dxf>
      <x:font>
        <x:b/>
        <x:color rgb="FF9F1D20"/>
      </x:font>
      <x:fill>
        <x:patternFill patternType="solid">
          <x:bgColor rgb="FFFDE8E7"/>
        </x:patternFill>
      </x:fill>
    </x:dxf>
    <x:dxf>
      <x:font>
        <x:b/>
        <x:color rgb="FF8A5B00"/>
      </x:font>
      <x:fill>
        <x:patternFill patternType="solid">
          <x:bgColor rgb="FFFFF3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59d3198a4c441b" /><Relationship Type="http://schemas.openxmlformats.org/officeDocument/2006/relationships/theme" Target="/xl/theme/theme1.xml" Id="R4cb7f11c1209436e" /><Relationship Type="http://schemas.openxmlformats.org/officeDocument/2006/relationships/sharedStrings" Target="/xl/sharedStrings.xml" Id="R171191e1b7cb4d00" /><Relationship Type="http://schemas.openxmlformats.org/officeDocument/2006/relationships/worksheet" Target="/xl/worksheets/sheet1.xml" Id="Rea9c362de4f645e2" /><Relationship Type="http://schemas.openxmlformats.org/officeDocument/2006/relationships/worksheet" Target="/xl/worksheets/sheet2.xml" Id="R8433d21459df422d" /><Relationship Type="http://schemas.openxmlformats.org/officeDocument/2006/relationships/worksheet" Target="/xl/worksheets/sheet3.xml" Id="R101f162548974bfa" /><Relationship Type="http://schemas.openxmlformats.org/officeDocument/2006/relationships/worksheet" Target="/xl/worksheets/sheet4.xml" Id="R9612fe42ad9e499a" /><Relationship Type="http://schemas.openxmlformats.org/officeDocument/2006/relationships/worksheet" Target="/xl/worksheets/sheet5.xml" Id="Rf2c6722a9cce40c8" /><Relationship Type="http://schemas.openxmlformats.org/officeDocument/2006/relationships/worksheet" Target="/xl/worksheets/sheet6.xml" Id="R4e921ae01203465b" /><Relationship Type="http://schemas.openxmlformats.org/officeDocument/2006/relationships/worksheet" Target="/xl/worksheets/sheet7.xml" Id="Rf712971e25dc42eb" /><Relationship Type="http://schemas.openxmlformats.org/officeDocument/2006/relationships/worksheet" Target="/xl/worksheets/sheet8.xml" Id="R3ebf05013f214be7" /><Relationship Type="http://schemas.openxmlformats.org/officeDocument/2006/relationships/worksheet" Target="/xl/worksheets/sheet9.xml" Id="Ra5056d74905b423a" /><Relationship Type="http://schemas.openxmlformats.org/officeDocument/2006/relationships/worksheet" Target="/xl/worksheets/sheet10.xml" Id="Red838ffcedbd45b6" /><Relationship Type="http://schemas.openxmlformats.org/officeDocument/2006/relationships/worksheet" Target="/xl/worksheets/sheet11.xml" Id="Rd6671771101a458e" /><Relationship Type="http://schemas.openxmlformats.org/officeDocument/2006/relationships/worksheet" Target="/xl/worksheets/sheet12.xml" Id="Rc4e0365888024fef" /><Relationship Type="http://schemas.openxmlformats.org/officeDocument/2006/relationships/worksheet" Target="/xl/worksheets/sheet13.xml" Id="R7427dc3bbdd248e7" /><Relationship Type="http://schemas.openxmlformats.org/officeDocument/2006/relationships/worksheet" Target="/xl/worksheets/sheet14.xml" Id="Raebcf4a4794d4855" /></Relationships>
</file>

<file path=xl/tables/table1.xml><?xml version="1.0" encoding="utf-8"?>
<x:table xmlns:x="http://schemas.openxmlformats.org/spreadsheetml/2006/main" id="1" name="AssetsTable" displayName="AssetsTable" ref="A4:P106" headerRowCount="1" totalsRowCount="0" totalsRowShown="0">
  <x:tableColumns count="16">
    <x:tableColumn id="1" name="生产资产ID"/>
    <x:tableColumn id="2" name="资产类型"/>
    <x:tableColumn id="3" name="资产名称"/>
    <x:tableColumn id="4" name="资产级别"/>
    <x:tableColumn id="5" name="剧本出处"/>
    <x:tableColumn id="6" name="关联场次或段落"/>
    <x:tableColumn id="7" name="基础描述"/>
    <x:tableColumn id="8" name="补全设计信息"/>
    <x:tableColumn id="9" name="状态变体"/>
    <x:tableColumn id="10" name="材质结构或声音特点"/>
    <x:tableColumn id="11" name="光影或环境要求"/>
    <x:tableColumn id="12" name="使用或生成需求"/>
    <x:tableColumn id="13" name="可复用范围"/>
    <x:tableColumn id="14" name="信息来源"/>
    <x:tableColumn id="15" name="确认状态"/>
    <x:tableColumn id="16" name="阶段2处理建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haracterCostumeTable" displayName="CharacterCostumeTable" ref="A4:I22" headerRowCount="1" totalsRowCount="0" totalsRowShown="0">
  <x:tableColumns count="9">
    <x:tableColumn id="1" name="生产资产ID"/>
    <x:tableColumn id="2" name="类型"/>
    <x:tableColumn id="3" name="资产名称"/>
    <x:tableColumn id="4" name="级别"/>
    <x:tableColumn id="5" name="剧本出处"/>
    <x:tableColumn id="6" name="设计摘要"/>
    <x:tableColumn id="7" name="状态/变体"/>
    <x:tableColumn id="8" name="确认状态"/>
    <x:tableColumn id="9" name="阶段2建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oiceTable" displayName="VoiceTable" ref="A4:I7" headerRowCount="1" totalsRowCount="0" totalsRowShown="0">
  <x:tableColumns count="9">
    <x:tableColumn id="1" name="生产资产ID"/>
    <x:tableColumn id="2" name="类型"/>
    <x:tableColumn id="3" name="资产名称"/>
    <x:tableColumn id="4" name="级别"/>
    <x:tableColumn id="5" name="剧本出处"/>
    <x:tableColumn id="6" name="设计摘要"/>
    <x:tableColumn id="7" name="状态/变体"/>
    <x:tableColumn id="8" name="确认状态"/>
    <x:tableColumn id="9" name="阶段2建议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ceneTable" displayName="SceneTable" ref="A4:I17" headerRowCount="1" totalsRowCount="0" totalsRowShown="0">
  <x:tableColumns count="9">
    <x:tableColumn id="1" name="生产资产ID"/>
    <x:tableColumn id="2" name="类型"/>
    <x:tableColumn id="3" name="资产名称"/>
    <x:tableColumn id="4" name="级别"/>
    <x:tableColumn id="5" name="剧本出处"/>
    <x:tableColumn id="6" name="设计摘要"/>
    <x:tableColumn id="7" name="状态/变体"/>
    <x:tableColumn id="8" name="确认状态"/>
    <x:tableColumn id="9" name="阶段2建议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ightingTable" displayName="LightingTable" ref="A4:I14" headerRowCount="1" totalsRowCount="0" totalsRowShown="0">
  <x:tableColumns count="9">
    <x:tableColumn id="1" name="生产资产ID"/>
    <x:tableColumn id="2" name="类型"/>
    <x:tableColumn id="3" name="资产名称"/>
    <x:tableColumn id="4" name="级别"/>
    <x:tableColumn id="5" name="剧本出处"/>
    <x:tableColumn id="6" name="设计摘要"/>
    <x:tableColumn id="7" name="状态/变体"/>
    <x:tableColumn id="8" name="确认状态"/>
    <x:tableColumn id="9" name="阶段2建议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opsTable" displayName="PropsTable" ref="A4:I14" headerRowCount="1" totalsRowCount="0" totalsRowShown="0">
  <x:tableColumns count="9">
    <x:tableColumn id="1" name="生产资产ID"/>
    <x:tableColumn id="2" name="类型"/>
    <x:tableColumn id="3" name="资产名称"/>
    <x:tableColumn id="4" name="级别"/>
    <x:tableColumn id="5" name="剧本出处"/>
    <x:tableColumn id="6" name="设计摘要"/>
    <x:tableColumn id="7" name="状态/变体"/>
    <x:tableColumn id="8" name="确认状态"/>
    <x:tableColumn id="9" name="阶段2建议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VfxCrowdSymbolTable" displayName="VfxCrowdSymbolTable" ref="A4:I22" headerRowCount="1" totalsRowCount="0" totalsRowShown="0">
  <x:tableColumns count="9">
    <x:tableColumn id="1" name="生产资产ID"/>
    <x:tableColumn id="2" name="类型"/>
    <x:tableColumn id="3" name="资产名称"/>
    <x:tableColumn id="4" name="级别"/>
    <x:tableColumn id="5" name="剧本出处"/>
    <x:tableColumn id="6" name="设计摘要"/>
    <x:tableColumn id="7" name="状态/变体"/>
    <x:tableColumn id="8" name="确认状态"/>
    <x:tableColumn id="9" name="阶段2建议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oundMotifTable" displayName="SoundMotifTable" ref="A4:I20" headerRowCount="1" totalsRowCount="0" totalsRowShown="0">
  <x:tableColumns count="9">
    <x:tableColumn id="1" name="生产资产ID"/>
    <x:tableColumn id="2" name="类型"/>
    <x:tableColumn id="3" name="资产名称"/>
    <x:tableColumn id="4" name="级别"/>
    <x:tableColumn id="5" name="剧本出处"/>
    <x:tableColumn id="6" name="设计摘要"/>
    <x:tableColumn id="7" name="状态/变体"/>
    <x:tableColumn id="8" name="确认状态"/>
    <x:tableColumn id="9" name="阶段2建议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elationshipTable" displayName="RelationshipTable" ref="A4:I18" headerRowCount="1" totalsRowCount="0" totalsRowShown="0">
  <x:tableColumns count="9">
    <x:tableColumn id="1" name="生产资产ID"/>
    <x:tableColumn id="2" name="类型"/>
    <x:tableColumn id="3" name="资产名称"/>
    <x:tableColumn id="4" name="级别"/>
    <x:tableColumn id="5" name="剧本出处"/>
    <x:tableColumn id="6" name="设计摘要"/>
    <x:tableColumn id="7" name="状态/变体"/>
    <x:tableColumn id="8" name="确认状态"/>
    <x:tableColumn id="9" name="阶段2建议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ceneViewsTable" displayName="SceneViewsTable" ref="A4:O17" headerRowCount="1" totalsRowCount="0" totalsRowShown="0">
  <x:tableColumns count="15">
    <x:tableColumn id="1" name="场景生产资产ID"/>
    <x:tableColumn id="2" name="场景名称"/>
    <x:tableColumn id="3" name="视图ID前缀"/>
    <x:tableColumn id="4" name="视图需求等级建议"/>
    <x:tableColumn id="5" name="建议原因"/>
    <x:tableColumn id="6" name="母图是否必需"/>
    <x:tableColumn id="7" name="指定必需视图"/>
    <x:tableColumn id="8" name="建议补充视图"/>
    <x:tableColumn id="9" name="是否建议标准五视图"/>
    <x:tableColumn id="10" name="阶段3可能追加专项视图"/>
    <x:tableColumn id="11" name="用户确认等级"/>
    <x:tableColumn id="12" name="用户确认视图清单"/>
    <x:tableColumn id="13" name="用户确认视图ID清单"/>
    <x:tableColumn id="14" name="确认状态"/>
    <x:tableColumn id="15" name="备注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roductionPackagesTable" displayName="ProductionPackagesTable" ref="A4:L13" headerRowCount="1" totalsRowCount="0" totalsRowShown="0">
  <x:tableColumns count="12">
    <x:tableColumn id="1" name="生产包编号"/>
    <x:tableColumn id="2" name="名称"/>
    <x:tableColumn id="3" name="覆盖镜头"/>
    <x:tableColumn id="4" name="包含资产"/>
    <x:tableColumn id="5" name="阶段2执行小组"/>
    <x:tableColumn id="6" name="前置依赖"/>
    <x:tableColumn id="7" name="审批门"/>
    <x:tableColumn id="8" name="交付形态"/>
    <x:tableColumn id="9" name="完成条件"/>
    <x:tableColumn id="10" name="阻断项"/>
    <x:tableColumn id="11" name="可并行生产包"/>
    <x:tableColumn id="12" name="后续生产包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ReincarnationDesignTable" displayName="ReincarnationDesignTable" ref="A4:J15" headerRowCount="1" totalsRowCount="0" totalsRowShown="0">
  <x:tableColumns count="10">
    <x:tableColumn id="1" name="设计ID"/>
    <x:tableColumn id="2" name="匿名设计切片"/>
    <x:tableColumn id="3" name="关联状态资产"/>
    <x:tableColumn id="4" name="镜头"/>
    <x:tableColumn id="5" name="时间/事件语汇"/>
    <x:tableColumn id="6" name="生产年龄"/>
    <x:tableColumn id="7" name="服装锁定"/>
    <x:tableColumn id="8" name="建筑/场景锁定"/>
    <x:tableColumn id="9" name="置信度与限制"/>
    <x:tableColumn id="10" name="研究来源URL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ConfirmationsTable" displayName="ConfirmationsTable" ref="A4:F19" headerRowCount="1" totalsRowCount="0" totalsRowShown="0">
  <x:tableColumns count="6">
    <x:tableColumn id="1" name="编号"/>
    <x:tableColumn id="2" name="优先级"/>
    <x:tableColumn id="3" name="确认项"/>
    <x:tableColumn id="4" name="阶段1建议"/>
    <x:tableColumn id="5" name="不确认的影响"/>
    <x:tableColumn id="6" name="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b33a888421f42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b7f1f8d61f140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b0a7846ed5542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049a2e688c142e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68fad52e23348b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8fdde25f61d406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936a6cff9864e8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10a5bd037094a2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b23de095a8447f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04406727cb646d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b645cd1f8dee407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53e50f733a8d4cd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f8d5727436ff4df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0" hidden="0" customWidth="1"/>
    <x:col min="4" max="4" width="10" hidden="0" customWidth="1"/>
    <x:col min="5" max="5" width="20" hidden="0" customWidth="1"/>
    <x:col min="6" max="6" width="12" hidden="0" customWidth="1"/>
    <x:col min="7" max="7" width="14" hidden="0" customWidth="1"/>
    <x:col min="8" max="8" width="28" hidden="0" customWidth="1"/>
  </x:cols>
  <x:sheetData>
    <x:row r="1" ht="34" customHeight="1">
      <x:c r="A1" s="3" t="str">
        <x:v>《阿修罗》阶段1资产统计总览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正式母版：镜头01—30｜214秒｜102条生产记录｜v1.0（阶段1正式锁定，可交接阶段2）</x:v>
      </x:c>
      <x:c r="B2" s="6"/>
      <x:c r="C2" s="6"/>
      <x:c r="D2" s="6"/>
      <x:c r="E2" s="6"/>
      <x:c r="F2" s="6"/>
      <x:c r="G2" s="6"/>
      <x:c r="H2" s="6"/>
    </x:row>
    <x:row r="4">
      <x:c r="A4" s="17" t="str">
        <x:v>资产类型</x:v>
      </x:c>
      <x:c r="B4" s="17" t="str">
        <x:v>数量</x:v>
      </x:c>
      <x:c r="C4" s="17" t="str">
        <x:v>P0</x:v>
      </x:c>
      <x:c r="D4" s="17" t="str">
        <x:v>P1</x:v>
      </x:c>
      <x:c r="E4" s="13" t="str">
        <x:v>关键指标</x:v>
      </x:c>
      <x:c r="F4" s="13" t="str">
        <x:v>数值</x:v>
      </x:c>
      <x:c r="G4" s="13" t="str">
        <x:v>状态</x:v>
      </x:c>
      <x:c r="H4" s="13" t="str">
        <x:v>说明</x:v>
      </x:c>
    </x:row>
    <x:row r="5">
      <x:c r="A5" s="8" t="str">
        <x:v>CHR</x:v>
      </x:c>
      <x:c r="B5" s="8" t="n">
        <x:f>COUNTIF('资产主表'!$B$5:$B$106,A5)</x:f>
        <x:v>4</x:v>
      </x:c>
      <x:c r="C5" s="8" t="n">
        <x:f>COUNTIFS('资产主表'!$B$5:$B$106,A5,'资产主表'!$D$5:$D$106,"P0")</x:f>
        <x:v>2</x:v>
      </x:c>
      <x:c r="D5" s="8" t="n">
        <x:f>COUNTIFS('资产主表'!$B$5:$B$106,A5,'资产主表'!$D$5:$D$106,"P1")</x:f>
        <x:v>2</x:v>
      </x:c>
      <x:c r="E5" s="9" t="str">
        <x:v>生产记录总量</x:v>
      </x:c>
      <x:c r="F5" s="9" t="n">
        <x:f>COUNTA('资产主表'!$A$5:$A$106)</x:f>
        <x:v>102</x:v>
      </x:c>
      <x:c r="G5" s="9" t="str">
        <x:v>已完成</x:v>
      </x:c>
      <x:c r="H5" s="9" t="str">
        <x:v>含14条REL关系记录</x:v>
      </x:c>
    </x:row>
    <x:row r="6">
      <x:c r="A6" s="8" t="str">
        <x:v>CST</x:v>
      </x:c>
      <x:c r="B6" s="8" t="n">
        <x:f>COUNTIF('资产主表'!$B$5:$B$106,A6)</x:f>
        <x:v>14</x:v>
      </x:c>
      <x:c r="C6" s="8" t="n">
        <x:f>COUNTIFS('资产主表'!$B$5:$B$106,A6,'资产主表'!$D$5:$D$106,"P0")</x:f>
        <x:v>3</x:v>
      </x:c>
      <x:c r="D6" s="8" t="n">
        <x:f>COUNTIFS('资产主表'!$B$5:$B$106,A6,'资产主表'!$D$5:$D$106,"P1")</x:f>
        <x:v>11</x:v>
      </x:c>
      <x:c r="E6" s="9" t="str">
        <x:v>视觉/声音生产资产</x:v>
      </x:c>
      <x:c r="F6" s="9" t="n">
        <x:f>F5-COUNTIF('资产主表'!$B$5:$B$106,"REL")</x:f>
        <x:v>88</x:v>
      </x:c>
      <x:c r="G6" s="9" t="str">
        <x:v>已完成</x:v>
      </x:c>
      <x:c r="H6" s="9" t="str">
        <x:v>不含REL</x:v>
      </x:c>
    </x:row>
    <x:row r="7">
      <x:c r="A7" s="8" t="str">
        <x:v>VOI</x:v>
      </x:c>
      <x:c r="B7" s="8" t="n">
        <x:f>COUNTIF('资产主表'!$B$5:$B$106,A7)</x:f>
        <x:v>3</x:v>
      </x:c>
      <x:c r="C7" s="8" t="n">
        <x:f>COUNTIFS('资产主表'!$B$5:$B$106,A7,'资产主表'!$D$5:$D$106,"P0")</x:f>
        <x:v>1</x:v>
      </x:c>
      <x:c r="D7" s="8" t="n">
        <x:f>COUNTIFS('资产主表'!$B$5:$B$106,A7,'资产主表'!$D$5:$D$106,"P1")</x:f>
        <x:v>2</x:v>
      </x:c>
      <x:c r="E7" s="9" t="str">
        <x:v>阶段1未确认项</x:v>
      </x:c>
      <x:c r="F7" s="9" t="n">
        <x:f>COUNTIF('主创确认'!$F$5:$F$19,"待主创确认")</x:f>
        <x:v>0</x:v>
      </x:c>
      <x:c r="G7" s="9" t="str">
        <x:v>已清零</x:v>
      </x:c>
      <x:c r="H7" s="9" t="str">
        <x:v>阶段2审批门不计入阶段1阻断</x:v>
      </x:c>
    </x:row>
    <x:row r="8">
      <x:c r="A8" s="8" t="str">
        <x:v>SCN</x:v>
      </x:c>
      <x:c r="B8" s="8" t="n">
        <x:f>COUNTIF('资产主表'!$B$5:$B$106,A8)</x:f>
        <x:v>13</x:v>
      </x:c>
      <x:c r="C8" s="8" t="n">
        <x:f>COUNTIFS('资产主表'!$B$5:$B$106,A8,'资产主表'!$D$5:$D$106,"P0")</x:f>
        <x:v>4</x:v>
      </x:c>
      <x:c r="D8" s="8" t="n">
        <x:f>COUNTIFS('资产主表'!$B$5:$B$106,A8,'资产主表'!$D$5:$D$106,"P1")</x:f>
        <x:v>7</x:v>
      </x:c>
      <x:c r="E8" s="9" t="str">
        <x:v>场景数量</x:v>
      </x:c>
      <x:c r="F8" s="9" t="n">
        <x:f>COUNTIF('资产主表'!$B$5:$B$106,"SCN")</x:f>
        <x:v>13</x:v>
      </x:c>
      <x:c r="G8" s="9" t="str">
        <x:v>策略已锁定</x:v>
      </x:c>
      <x:c r="H8" s="9" t="str">
        <x:v>按SV0/SV1-lite生产</x:v>
      </x:c>
    </x:row>
    <x:row r="9">
      <x:c r="A9" s="8" t="str">
        <x:v>LGT</x:v>
      </x:c>
      <x:c r="B9" s="8" t="n">
        <x:f>COUNTIF('资产主表'!$B$5:$B$106,A9)</x:f>
        <x:v>10</x:v>
      </x:c>
      <x:c r="C9" s="8" t="n">
        <x:f>COUNTIFS('资产主表'!$B$5:$B$106,A9,'资产主表'!$D$5:$D$106,"P0")</x:f>
        <x:v>5</x:v>
      </x:c>
      <x:c r="D9" s="8" t="n">
        <x:f>COUNTIFS('资产主表'!$B$5:$B$106,A9,'资产主表'!$D$5:$D$106,"P1")</x:f>
        <x:v>5</x:v>
      </x:c>
      <x:c r="E9" s="9" t="str">
        <x:v>生产包数量</x:v>
      </x:c>
      <x:c r="F9" s="9" t="n">
        <x:f>COUNTA('生产包'!$A$5:$A$13)</x:f>
        <x:v>9</x:v>
      </x:c>
      <x:c r="G9" s="9" t="str">
        <x:v>已规划</x:v>
      </x:c>
      <x:c r="H9" s="9" t="str">
        <x:v>PKG-01至PKG-09</x:v>
      </x:c>
    </x:row>
    <x:row r="10">
      <x:c r="A10" s="8" t="str">
        <x:v>PRP</x:v>
      </x:c>
      <x:c r="B10" s="8" t="n">
        <x:f>COUNTIF('资产主表'!$B$5:$B$106,A10)</x:f>
        <x:v>10</x:v>
      </x:c>
      <x:c r="C10" s="8" t="n">
        <x:f>COUNTIFS('资产主表'!$B$5:$B$106,A10,'资产主表'!$D$5:$D$106,"P0")</x:f>
        <x:v>2</x:v>
      </x:c>
      <x:c r="D10" s="8" t="n">
        <x:f>COUNTIFS('资产主表'!$B$5:$B$106,A10,'资产主表'!$D$5:$D$106,"P1")</x:f>
        <x:v>7</x:v>
      </x:c>
    </x:row>
    <x:row r="11">
      <x:c r="A11" s="8" t="str">
        <x:v>VFX</x:v>
      </x:c>
      <x:c r="B11" s="8" t="n">
        <x:f>COUNTIF('资产主表'!$B$5:$B$106,A11)</x:f>
        <x:v>10</x:v>
      </x:c>
      <x:c r="C11" s="8" t="n">
        <x:f>COUNTIFS('资产主表'!$B$5:$B$106,A11,'资产主表'!$D$5:$D$106,"P0")</x:f>
        <x:v>5</x:v>
      </x:c>
      <x:c r="D11" s="8" t="n">
        <x:f>COUNTIFS('资产主表'!$B$5:$B$106,A11,'资产主表'!$D$5:$D$106,"P1")</x:f>
        <x:v>4</x:v>
      </x:c>
    </x:row>
    <x:row r="12">
      <x:c r="A12" s="8" t="str">
        <x:v>CRO</x:v>
      </x:c>
      <x:c r="B12" s="8" t="n">
        <x:f>COUNTIF('资产主表'!$B$5:$B$106,A12)</x:f>
        <x:v>6</x:v>
      </x:c>
      <x:c r="C12" s="8" t="n">
        <x:f>COUNTIFS('资产主表'!$B$5:$B$106,A12,'资产主表'!$D$5:$D$106,"P0")</x:f>
        <x:v>1</x:v>
      </x:c>
      <x:c r="D12" s="8" t="n">
        <x:f>COUNTIFS('资产主表'!$B$5:$B$106,A12,'资产主表'!$D$5:$D$106,"P1")</x:f>
        <x:v>3</x:v>
      </x:c>
    </x:row>
    <x:row r="13">
      <x:c r="A13" s="8" t="str">
        <x:v>SYM</x:v>
      </x:c>
      <x:c r="B13" s="8" t="n">
        <x:f>COUNTIF('资产主表'!$B$5:$B$106,A13)</x:f>
        <x:v>2</x:v>
      </x:c>
      <x:c r="C13" s="8" t="n">
        <x:f>COUNTIFS('资产主表'!$B$5:$B$106,A13,'资产主表'!$D$5:$D$106,"P0")</x:f>
        <x:v>1</x:v>
      </x:c>
      <x:c r="D13" s="8" t="n">
        <x:f>COUNTIFS('资产主表'!$B$5:$B$106,A13,'资产主表'!$D$5:$D$106,"P1")</x:f>
        <x:v>1</x:v>
      </x:c>
    </x:row>
    <x:row r="14">
      <x:c r="A14" s="8" t="str">
        <x:v>SND</x:v>
      </x:c>
      <x:c r="B14" s="8" t="n">
        <x:f>COUNTIF('资产主表'!$B$5:$B$106,A14)</x:f>
        <x:v>16</x:v>
      </x:c>
      <x:c r="C14" s="8" t="n">
        <x:f>COUNTIFS('资产主表'!$B$5:$B$106,A14,'资产主表'!$D$5:$D$106,"P0")</x:f>
        <x:v>7</x:v>
      </x:c>
      <x:c r="D14" s="8" t="n">
        <x:f>COUNTIFS('资产主表'!$B$5:$B$106,A14,'资产主表'!$D$5:$D$106,"P1")</x:f>
        <x:v>8</x:v>
      </x:c>
    </x:row>
    <x:row r="15">
      <x:c r="A15" s="8" t="str">
        <x:v>REL</x:v>
      </x:c>
      <x:c r="B15" s="8" t="n">
        <x:f>COUNTIF('资产主表'!$B$5:$B$106,A15)</x:f>
        <x:v>14</x:v>
      </x:c>
      <x:c r="C15" s="8" t="n">
        <x:f>COUNTIFS('资产主表'!$B$5:$B$106,A15,'资产主表'!$D$5:$D$106,"P0")</x:f>
        <x:v>10</x:v>
      </x:c>
      <x:c r="D15" s="8" t="n">
        <x:f>COUNTIFS('资产主表'!$B$5:$B$106,A15,'资产主表'!$D$5:$D$106,"P1")</x:f>
        <x:v>4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0" hidden="0" customWidth="1"/>
    <x:col min="3" max="3" width="24" hidden="0" customWidth="1"/>
    <x:col min="4" max="4" width="8" hidden="0" customWidth="1"/>
    <x:col min="5" max="5" width="18" hidden="0" customWidth="1"/>
    <x:col min="6" max="6" width="18" hidden="0" customWidth="1"/>
    <x:col min="7" max="7" width="34" hidden="0" customWidth="1"/>
    <x:col min="8" max="8" width="38" hidden="0" customWidth="1"/>
    <x:col min="9" max="9" width="28" hidden="0" customWidth="1"/>
    <x:col min="10" max="10" width="34" hidden="0" customWidth="1"/>
    <x:col min="11" max="11" width="32" hidden="0" customWidth="1"/>
    <x:col min="12" max="12" width="34" hidden="0" customWidth="1"/>
    <x:col min="13" max="13" width="22" hidden="0" customWidth="1"/>
    <x:col min="14" max="14" width="26" hidden="0" customWidth="1"/>
    <x:col min="15" max="15" width="16" hidden="0" customWidth="1"/>
    <x:col min="16" max="16" width="34" hidden="0" customWidth="1"/>
  </x:cols>
  <x:sheetData>
    <x:row r="1" ht="30" customHeight="1">
      <x:c r="A1" s="19" t="str">
        <x:v>资产统计主表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 ht="22" customHeight="1">
      <x:c r="A2" s="6" t="str">
        <x:v>《阿修罗》阶段1｜v1.0（正式锁定版）｜生成日期 2026-07-12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4" ht="30" customHeight="1">
      <x:c r="A4" s="31" t="str">
        <x:v>生产资产ID</x:v>
      </x:c>
      <x:c r="B4" s="32" t="str">
        <x:v>资产类型</x:v>
      </x:c>
      <x:c r="C4" s="32" t="str">
        <x:v>资产名称</x:v>
      </x:c>
      <x:c r="D4" s="32" t="str">
        <x:v>资产级别</x:v>
      </x:c>
      <x:c r="E4" s="32" t="str">
        <x:v>剧本出处</x:v>
      </x:c>
      <x:c r="F4" s="32" t="str">
        <x:v>关联场次或段落</x:v>
      </x:c>
      <x:c r="G4" s="32" t="str">
        <x:v>基础描述</x:v>
      </x:c>
      <x:c r="H4" s="32" t="str">
        <x:v>补全设计信息</x:v>
      </x:c>
      <x:c r="I4" s="32" t="str">
        <x:v>状态变体</x:v>
      </x:c>
      <x:c r="J4" s="32" t="str">
        <x:v>材质结构或声音特点</x:v>
      </x:c>
      <x:c r="K4" s="32" t="str">
        <x:v>光影或环境要求</x:v>
      </x:c>
      <x:c r="L4" s="32" t="str">
        <x:v>使用或生成需求</x:v>
      </x:c>
      <x:c r="M4" s="32" t="str">
        <x:v>可复用范围</x:v>
      </x:c>
      <x:c r="N4" s="32" t="str">
        <x:v>信息来源</x:v>
      </x:c>
      <x:c r="O4" s="32" t="str">
        <x:v>确认状态</x:v>
      </x:c>
      <x:c r="P4" s="33" t="str">
        <x:v>阶段2处理建议</x:v>
      </x:c>
    </x:row>
    <x:row r="5" ht="42" customHeight="1">
      <x:c r="A5" s="34" t="str">
        <x:v>ASR-CHR-P0-001-女主基础身份</x:v>
      </x:c>
      <x:c r="B5" s="34" t="str">
        <x:v>CHR</x:v>
      </x:c>
      <x:c r="C5" s="34" t="str">
        <x:v>女主基础身份</x:v>
      </x:c>
      <x:c r="D5" s="34" t="str">
        <x:v>P0</x:v>
      </x:c>
      <x:c r="E5" s="34" t="str">
        <x:v>03-05、09-10、12-13、17-19、21-30</x:v>
      </x:c>
      <x:c r="F5" s="34" t="str">
        <x:v>镜头03-05、09-10、12-13、17-19、21-30</x:v>
      </x:c>
      <x:c r="G5" s="34" t="str">
        <x:v>佛国20—22岁；跨千年同一面部身份；轮回年龄按历史事件独立变化</x:v>
      </x:c>
      <x:c r="H5" s="34" t="str">
        <x:v>佛国20—22岁；跨千年同一面部身份；轮回年龄按历史事件独立变化；详见《资产卡索引》对应ID</x:v>
      </x:c>
      <x:c r="I5" s="34" t="str">
        <x:v>按资产卡要求生成基础态与必要关系切片</x:v>
      </x:c>
      <x:c r="J5" s="34" t="str">
        <x:v>真人写实、真实物理材质、低饱和；佛国20—22岁；跨千年同一面部身份；轮回年龄按历史事件独立变化</x:v>
      </x:c>
      <x:c r="K5" s="34" t="str">
        <x:v>继承所属场景已确认光影；不得临时创造神光或高饱和环境</x:v>
      </x:c>
      <x:c r="L5" s="34" t="str">
        <x:v>阶段2制作角色基础资产标准资产、必要视图/状态/声音样本与验证切片</x:v>
      </x:c>
      <x:c r="M5" s="34" t="str">
        <x:v>镜头03-05、09-10、12-13、17-19、21-30</x:v>
      </x:c>
      <x:c r="N5" s="34" t="str">
        <x:v>剧本明确;项目锁定;创作者建议</x:v>
      </x:c>
      <x:c r="O5" s="34" t="str">
        <x:v>阶段2候选确认</x:v>
      </x:c>
      <x:c r="P5" s="34" t="str">
        <x:v>进入第一批或随P0共同依赖包制作；先验证后批量</x:v>
      </x:c>
    </x:row>
    <x:row r="6" ht="42" customHeight="1">
      <x:c r="A6" s="35" t="str">
        <x:v>ASR-CHR-P0-002-佛非正面存在</x:v>
      </x:c>
      <x:c r="B6" s="35" t="str">
        <x:v>CHR</x:v>
      </x:c>
      <x:c r="C6" s="35" t="str">
        <x:v>佛非正面存在</x:v>
      </x:c>
      <x:c r="D6" s="35" t="str">
        <x:v>P0</x:v>
      </x:c>
      <x:c r="E6" s="35" t="str">
        <x:v>07、11、15、29</x:v>
      </x:c>
      <x:c r="F6" s="35" t="str">
        <x:v>镜头07、11、15、29</x:v>
      </x:c>
      <x:c r="G6" s="35" t="str">
        <x:v>仅袈裟边缘、肩线、垂手和听众朝向；禁止正脸与私人凝视</x:v>
      </x:c>
      <x:c r="H6" s="35" t="str">
        <x:v>仅袈裟边缘、肩线、垂手和听众朝向；禁止正脸与私人凝视；详见《资产卡索引》对应ID</x:v>
      </x:c>
      <x:c r="I6" s="35" t="str">
        <x:v>按资产卡要求生成基础态与必要关系切片</x:v>
      </x:c>
      <x:c r="J6" s="35" t="str">
        <x:v>真人写实、真实物理材质、低饱和；仅袈裟边缘、肩线、垂手和听众朝向；禁止正脸与私人凝视</x:v>
      </x:c>
      <x:c r="K6" s="35" t="str">
        <x:v>继承所属场景已确认光影；不得临时创造神光或高饱和环境</x:v>
      </x:c>
      <x:c r="L6" s="35" t="str">
        <x:v>阶段2制作角色基础资产标准资产、必要视图/状态/声音样本与验证切片</x:v>
      </x:c>
      <x:c r="M6" s="35" t="str">
        <x:v>镜头07、11、15、29</x:v>
      </x:c>
      <x:c r="N6" s="35" t="str">
        <x:v>剧本明确;项目锁定;创作者建议</x:v>
      </x:c>
      <x:c r="O6" s="35" t="str">
        <x:v>建议采用</x:v>
      </x:c>
      <x:c r="P6" s="35" t="str">
        <x:v>进入第一批或随P0共同依赖包制作；先验证后批量</x:v>
      </x:c>
    </x:row>
    <x:row r="7" ht="42" customHeight="1">
      <x:c r="A7" s="35" t="str">
        <x:v>ASR-CHR-P1-003-轮回爱人模糊身份</x:v>
      </x:c>
      <x:c r="B7" s="35" t="str">
        <x:v>CHR</x:v>
      </x:c>
      <x:c r="C7" s="35" t="str">
        <x:v>轮回爱人模糊身份</x:v>
      </x:c>
      <x:c r="D7" s="35" t="str">
        <x:v>P1</x:v>
      </x:c>
      <x:c r="E7" s="35" t="str">
        <x:v>22、27</x:v>
      </x:c>
      <x:c r="F7" s="35" t="str">
        <x:v>镜头22、27</x:v>
      </x:c>
      <x:c r="G7" s="35" t="str">
        <x:v>局部人影与手部；不抢女主身份</x:v>
      </x:c>
      <x:c r="H7" s="35" t="str">
        <x:v>局部人影与手部；不抢女主身份；详见《资产卡索引》对应ID</x:v>
      </x:c>
      <x:c r="I7" s="35" t="str">
        <x:v>按资产卡要求生成基础态与必要关系切片</x:v>
      </x:c>
      <x:c r="J7" s="35" t="str">
        <x:v>真人写实、真实物理材质、低饱和；局部人影与手部；不抢女主身份</x:v>
      </x:c>
      <x:c r="K7" s="35" t="str">
        <x:v>继承所属场景已确认光影；不得临时创造神光或高饱和环境</x:v>
      </x:c>
      <x:c r="L7" s="35" t="str">
        <x:v>阶段2制作角色基础资产标准资产、必要视图/状态/声音样本与验证切片</x:v>
      </x:c>
      <x:c r="M7" s="35" t="str">
        <x:v>镜头22、27</x:v>
      </x:c>
      <x:c r="N7" s="35" t="str">
        <x:v>剧本明确;项目锁定;创作者建议</x:v>
      </x:c>
      <x:c r="O7" s="35" t="str">
        <x:v>建议采用</x:v>
      </x:c>
      <x:c r="P7" s="35" t="str">
        <x:v>随对应P0资产或第二批生产包制作</x:v>
      </x:c>
    </x:row>
    <x:row r="8" ht="42" customHeight="1">
      <x:c r="A8" s="35" t="str">
        <x:v>ASR-CHR-P1-004-被取代女子</x:v>
      </x:c>
      <x:c r="B8" s="35" t="str">
        <x:v>CHR</x:v>
      </x:c>
      <x:c r="C8" s="35" t="str">
        <x:v>被取代女子</x:v>
      </x:c>
      <x:c r="D8" s="35" t="str">
        <x:v>P1</x:v>
      </x:c>
      <x:c r="E8" s="35" t="str">
        <x:v>23</x:v>
      </x:c>
      <x:c r="F8" s="35" t="str">
        <x:v>镜头23</x:v>
      </x:c>
      <x:c r="G8" s="35" t="str">
        <x:v>局部侧影与递簪手部；不妖魔化情敌</x:v>
      </x:c>
      <x:c r="H8" s="35" t="str">
        <x:v>局部侧影与递簪手部；不妖魔化情敌；详见《资产卡索引》对应ID</x:v>
      </x:c>
      <x:c r="I8" s="35" t="str">
        <x:v>按资产卡要求生成基础态与必要关系切片</x:v>
      </x:c>
      <x:c r="J8" s="35" t="str">
        <x:v>真人写实、真实物理材质、低饱和；局部侧影与递簪手部；不妖魔化情敌</x:v>
      </x:c>
      <x:c r="K8" s="35" t="str">
        <x:v>继承所属场景已确认光影；不得临时创造神光或高饱和环境</x:v>
      </x:c>
      <x:c r="L8" s="35" t="str">
        <x:v>阶段2制作角色基础资产标准资产、必要视图/状态/声音样本与验证切片</x:v>
      </x:c>
      <x:c r="M8" s="35" t="str">
        <x:v>镜头23</x:v>
      </x:c>
      <x:c r="N8" s="35" t="str">
        <x:v>剧本明确;项目锁定;创作者建议</x:v>
      </x:c>
      <x:c r="O8" s="35" t="str">
        <x:v>建议采用</x:v>
      </x:c>
      <x:c r="P8" s="35" t="str">
        <x:v>随对应P0资产或第二批生产包制作</x:v>
      </x:c>
    </x:row>
    <x:row r="9" ht="42" customHeight="1">
      <x:c r="A9" s="35" t="str">
        <x:v>ASR-CST-P0-001-女主佛国比丘尼基础</x:v>
      </x:c>
      <x:c r="B9" s="35" t="str">
        <x:v>CST</x:v>
      </x:c>
      <x:c r="C9" s="35" t="str">
        <x:v>女主佛国比丘尼基础</x:v>
      </x:c>
      <x:c r="D9" s="35" t="str">
        <x:v>P0</x:v>
      </x:c>
      <x:c r="E9" s="35" t="str">
        <x:v>03-05、09-10、12-13、17-19</x:v>
      </x:c>
      <x:c r="F9" s="35" t="str">
        <x:v>镜头03-05、09-10、12-13、17-19</x:v>
      </x:c>
      <x:c r="G9" s="35" t="str">
        <x:v>20—22岁；非朝代、非地域天国修行服；盘坐与拨珠衣褶真实</x:v>
      </x:c>
      <x:c r="H9" s="35" t="str">
        <x:v>20—22岁；非朝代、非地域天国修行服；盘坐与拨珠衣褶真实；详见《资产卡索引》对应ID</x:v>
      </x:c>
      <x:c r="I9" s="35" t="str">
        <x:v>继承女主基础身份的独立状态变体</x:v>
      </x:c>
      <x:c r="J9" s="35" t="str">
        <x:v>真人写实、真实物理材质、低饱和；20—22岁；非朝代、非地域天国修行服；盘坐与拨珠衣褶真实</x:v>
      </x:c>
      <x:c r="K9" s="35" t="str">
        <x:v>继承所属场景已确认光影；不得临时创造神光或高饱和环境</x:v>
      </x:c>
      <x:c r="L9" s="35" t="str">
        <x:v>阶段2制作服装/状态变体标准资产、必要视图/状态/声音样本与验证切片</x:v>
      </x:c>
      <x:c r="M9" s="35" t="str">
        <x:v>对应轮回镜头组</x:v>
      </x:c>
      <x:c r="N9" s="35" t="str">
        <x:v>剧本明确;项目锁定;合理推断</x:v>
      </x:c>
      <x:c r="O9" s="35" t="str">
        <x:v>建议采用</x:v>
      </x:c>
      <x:c r="P9" s="35" t="str">
        <x:v>进入第一批或随P0共同依赖包制作；先验证后批量</x:v>
      </x:c>
    </x:row>
    <x:row r="10" ht="42" customHeight="1">
      <x:c r="A10" s="35" t="str">
        <x:v>ASR-CST-P0-002-女主被照见眼润状态</x:v>
      </x:c>
      <x:c r="B10" s="35" t="str">
        <x:v>CST</x:v>
      </x:c>
      <x:c r="C10" s="35" t="str">
        <x:v>女主被照见眼润状态</x:v>
      </x:c>
      <x:c r="D10" s="35" t="str">
        <x:v>P0</x:v>
      </x:c>
      <x:c r="E10" s="35" t="str">
        <x:v>09-12、17</x:v>
      </x:c>
      <x:c r="F10" s="35" t="str">
        <x:v>镜头09-12、17</x:v>
      </x:c>
      <x:c r="G10" s="35" t="str">
        <x:v>睫毛轻颤、瞳孔轻收、唇线微松、眼润无泪落</x:v>
      </x:c>
      <x:c r="H10" s="35" t="str">
        <x:v>睫毛轻颤、瞳孔轻收、唇线微松、眼润无泪落；详见《资产卡索引》对应ID</x:v>
      </x:c>
      <x:c r="I10" s="35" t="str">
        <x:v>继承女主基础身份的独立状态变体</x:v>
      </x:c>
      <x:c r="J10" s="35" t="str">
        <x:v>真人写实、真实物理材质、低饱和；睫毛轻颤、瞳孔轻收、唇线微松、眼润无泪落</x:v>
      </x:c>
      <x:c r="K10" s="35" t="str">
        <x:v>继承所属场景已确认光影；不得临时创造神光或高饱和环境</x:v>
      </x:c>
      <x:c r="L10" s="35" t="str">
        <x:v>阶段2制作服装/状态变体标准资产、必要视图/状态/声音样本与验证切片</x:v>
      </x:c>
      <x:c r="M10" s="35" t="str">
        <x:v>对应轮回镜头组</x:v>
      </x:c>
      <x:c r="N10" s="35" t="str">
        <x:v>剧本明确;项目锁定;合理推断</x:v>
      </x:c>
      <x:c r="O10" s="35" t="str">
        <x:v>建议采用</x:v>
      </x:c>
      <x:c r="P10" s="35" t="str">
        <x:v>进入第一批或随P0共同依赖包制作；先验证后批量</x:v>
      </x:c>
    </x:row>
    <x:row r="11" ht="42" customHeight="1">
      <x:c r="A11" s="35" t="str">
        <x:v>ASR-CST-P1-003-女主王府少女</x:v>
      </x:c>
      <x:c r="B11" s="35" t="str">
        <x:v>CST</x:v>
      </x:c>
      <x:c r="C11" s="35" t="str">
        <x:v>女主王府少女</x:v>
      </x:c>
      <x:c r="D11" s="35" t="str">
        <x:v>P1</x:v>
      </x:c>
      <x:c r="E11" s="35" t="str">
        <x:v>21</x:v>
      </x:c>
      <x:c r="F11" s="35" t="str">
        <x:v>镜头21</x:v>
      </x:c>
      <x:c r="G11" s="35" t="str">
        <x:v>明代中后期；16—18岁；宗室少女常服与木构深院</x:v>
      </x:c>
      <x:c r="H11" s="35" t="str">
        <x:v>明代中后期；16—18岁；宗室少女常服与木构深院；详见《资产卡索引》对应ID</x:v>
      </x:c>
      <x:c r="I11" s="35" t="str">
        <x:v>继承女主基础身份的独立状态变体</x:v>
      </x:c>
      <x:c r="J11" s="35" t="str">
        <x:v>真人写实、真实物理材质、低饱和；明代中后期；16—18岁；宗室少女常服与木构深院</x:v>
      </x:c>
      <x:c r="K11" s="35" t="str">
        <x:v>继承所属场景已确认光影；不得临时创造神光或高饱和环境</x:v>
      </x:c>
      <x:c r="L11" s="35" t="str">
        <x:v>阶段2制作服装/状态变体标准资产、必要视图/状态/声音样本与验证切片</x:v>
      </x:c>
      <x:c r="M11" s="35" t="str">
        <x:v>对应轮回镜头组</x:v>
      </x:c>
      <x:c r="N11" s="35" t="str">
        <x:v>剧本明确;用户指定参考;历史资料调查;创作者建议</x:v>
      </x:c>
      <x:c r="O11" s="35" t="str">
        <x:v>建议采用</x:v>
      </x:c>
      <x:c r="P11" s="35" t="str">
        <x:v>随对应P0资产或第二批生产包制作</x:v>
      </x:c>
    </x:row>
    <x:row r="12" ht="42" customHeight="1">
      <x:c r="A12" s="35" t="str">
        <x:v>ASR-CST-P1-004-女主灯下相爱</x:v>
      </x:c>
      <x:c r="B12" s="35" t="str">
        <x:v>CST</x:v>
      </x:c>
      <x:c r="C12" s="35" t="str">
        <x:v>女主灯下相爱</x:v>
      </x:c>
      <x:c r="D12" s="35" t="str">
        <x:v>P1</x:v>
      </x:c>
      <x:c r="E12" s="35" t="str">
        <x:v>22</x:v>
      </x:c>
      <x:c r="F12" s="35" t="str">
        <x:v>镜头22</x:v>
      </x:c>
      <x:c r="G12" s="35" t="str">
        <x:v>西汉临邛富商家庭女性；20—25岁生产范围；同期琴声</x:v>
      </x:c>
      <x:c r="H12" s="35" t="str">
        <x:v>西汉临邛富商家庭女性；20—25岁生产范围；同期琴声；详见《资产卡索引》对应ID</x:v>
      </x:c>
      <x:c r="I12" s="35" t="str">
        <x:v>继承女主基础身份的独立状态变体</x:v>
      </x:c>
      <x:c r="J12" s="35" t="str">
        <x:v>真人写实、真实物理材质、低饱和；西汉临邛富商家庭女性；20—25岁生产范围；同期琴声</x:v>
      </x:c>
      <x:c r="K12" s="35" t="str">
        <x:v>继承所属场景已确认光影；不得临时创造神光或高饱和环境</x:v>
      </x:c>
      <x:c r="L12" s="35" t="str">
        <x:v>阶段2制作服装/状态变体标准资产、必要视图/状态/声音样本与验证切片</x:v>
      </x:c>
      <x:c r="M12" s="35" t="str">
        <x:v>对应轮回镜头组</x:v>
      </x:c>
      <x:c r="N12" s="35" t="str">
        <x:v>剧本明确;用户指定参考;历史资料调查;创作者建议</x:v>
      </x:c>
      <x:c r="O12" s="35" t="str">
        <x:v>建议采用</x:v>
      </x:c>
      <x:c r="P12" s="35" t="str">
        <x:v>随对应P0资产或第二批生产包制作</x:v>
      </x:c>
    </x:row>
    <x:row r="13" ht="42" customHeight="1">
      <x:c r="A13" s="35" t="str">
        <x:v>ASR-CST-P1-005-女主帘后目击</x:v>
      </x:c>
      <x:c r="B13" s="35" t="str">
        <x:v>CST</x:v>
      </x:c>
      <x:c r="C13" s="35" t="str">
        <x:v>女主帘后目击</x:v>
      </x:c>
      <x:c r="D13" s="35" t="str">
        <x:v>P1</x:v>
      </x:c>
      <x:c r="E13" s="35" t="str">
        <x:v>23</x:v>
      </x:c>
      <x:c r="F13" s="35" t="str">
        <x:v>镜头23</x:v>
      </x:c>
      <x:c r="G13" s="35" t="str">
        <x:v>晚明江南城市女性；18—23岁；窄袖上衣、长裙与木构帘影</x:v>
      </x:c>
      <x:c r="H13" s="35" t="str">
        <x:v>晚明江南城市女性；18—23岁；窄袖上衣、长裙与木构帘影；详见《资产卡索引》对应ID</x:v>
      </x:c>
      <x:c r="I13" s="35" t="str">
        <x:v>继承女主基础身份的独立状态变体</x:v>
      </x:c>
      <x:c r="J13" s="35" t="str">
        <x:v>真人写实、真实物理材质、低饱和；晚明江南城市女性；18—23岁；窄袖上衣、长裙与木构帘影</x:v>
      </x:c>
      <x:c r="K13" s="35" t="str">
        <x:v>继承所属场景已确认光影；不得临时创造神光或高饱和环境</x:v>
      </x:c>
      <x:c r="L13" s="35" t="str">
        <x:v>阶段2制作服装/状态变体标准资产、必要视图/状态/声音样本与验证切片</x:v>
      </x:c>
      <x:c r="M13" s="35" t="str">
        <x:v>对应轮回镜头组</x:v>
      </x:c>
      <x:c r="N13" s="35" t="str">
        <x:v>剧本明确;用户指定参考;历史资料调查;创作者建议</x:v>
      </x:c>
      <x:c r="O13" s="35" t="str">
        <x:v>建议采用</x:v>
      </x:c>
      <x:c r="P13" s="35" t="str">
        <x:v>随对应P0资产或第二批生产包制作</x:v>
      </x:c>
    </x:row>
    <x:row r="14" ht="42" customHeight="1">
      <x:c r="A14" s="35" t="str">
        <x:v>ASR-CST-P1-006-女主妒恨执簪</x:v>
      </x:c>
      <x:c r="B14" s="35" t="str">
        <x:v>CST</x:v>
      </x:c>
      <x:c r="C14" s="35" t="str">
        <x:v>女主妒恨执簪</x:v>
      </x:c>
      <x:c r="D14" s="35" t="str">
        <x:v>P1</x:v>
      </x:c>
      <x:c r="E14" s="35" t="str">
        <x:v>24</x:v>
      </x:c>
      <x:c r="F14" s="35" t="str">
        <x:v>镜头24</x:v>
      </x:c>
      <x:c r="G14" s="35" t="str">
        <x:v>西汉成帝后期高等级宫廷女性；28—35岁生产范围；不妖妃化</x:v>
      </x:c>
      <x:c r="H14" s="35" t="str">
        <x:v>西汉成帝后期高等级宫廷女性；28—35岁生产范围；不妖妃化；详见《资产卡索引》对应ID</x:v>
      </x:c>
      <x:c r="I14" s="35" t="str">
        <x:v>继承女主基础身份的独立状态变体</x:v>
      </x:c>
      <x:c r="J14" s="35" t="str">
        <x:v>真人写实、真实物理材质、低饱和；西汉成帝后期高等级宫廷女性；28—35岁生产范围；不妖妃化</x:v>
      </x:c>
      <x:c r="K14" s="35" t="str">
        <x:v>继承所属场景已确认光影；不得临时创造神光或高饱和环境</x:v>
      </x:c>
      <x:c r="L14" s="35" t="str">
        <x:v>阶段2制作服装/状态变体标准资产、必要视图/状态/声音样本与验证切片</x:v>
      </x:c>
      <x:c r="M14" s="35" t="str">
        <x:v>对应轮回镜头组</x:v>
      </x:c>
      <x:c r="N14" s="35" t="str">
        <x:v>剧本明确;用户指定参考;历史资料调查;创作者建议</x:v>
      </x:c>
      <x:c r="O14" s="35" t="str">
        <x:v>建议采用</x:v>
      </x:c>
      <x:c r="P14" s="35" t="str">
        <x:v>随对应P0资产或第二批生产包制作</x:v>
      </x:c>
    </x:row>
    <x:row r="15" ht="42" customHeight="1">
      <x:c r="A15" s="35" t="str">
        <x:v>ASR-CST-P1-007-女主宫廷掌权</x:v>
      </x:c>
      <x:c r="B15" s="35" t="str">
        <x:v>CST</x:v>
      </x:c>
      <x:c r="C15" s="35" t="str">
        <x:v>女主宫廷掌权</x:v>
      </x:c>
      <x:c r="D15" s="35" t="str">
        <x:v>P1</x:v>
      </x:c>
      <x:c r="E15" s="35" t="str">
        <x:v>25</x:v>
      </x:c>
      <x:c r="F15" s="35" t="str">
        <x:v>镜头25</x:v>
      </x:c>
      <x:c r="G15" s="35" t="str">
        <x:v>7世纪末女性最高统治者；66岁；洛阳明堂权力空间</x:v>
      </x:c>
      <x:c r="H15" s="35" t="str">
        <x:v>7世纪末女性最高统治者；66岁；洛阳明堂权力空间；详见《资产卡索引》对应ID</x:v>
      </x:c>
      <x:c r="I15" s="35" t="str">
        <x:v>继承女主基础身份的独立状态变体</x:v>
      </x:c>
      <x:c r="J15" s="35" t="str">
        <x:v>真人写实、真实物理材质、低饱和；7世纪末女性最高统治者；66岁；洛阳明堂权力空间</x:v>
      </x:c>
      <x:c r="K15" s="35" t="str">
        <x:v>继承所属场景已确认光影；不得临时创造神光或高饱和环境</x:v>
      </x:c>
      <x:c r="L15" s="35" t="str">
        <x:v>阶段2制作服装/状态变体标准资产、必要视图/状态/声音样本与验证切片</x:v>
      </x:c>
      <x:c r="M15" s="35" t="str">
        <x:v>对应轮回镜头组</x:v>
      </x:c>
      <x:c r="N15" s="35" t="str">
        <x:v>剧本明确;用户指定参考;历史资料调查;创作者建议</x:v>
      </x:c>
      <x:c r="O15" s="35" t="str">
        <x:v>建议采用</x:v>
      </x:c>
      <x:c r="P15" s="35" t="str">
        <x:v>随对应P0资产或第二批生产包制作</x:v>
      </x:c>
    </x:row>
    <x:row r="16" ht="42" customHeight="1">
      <x:c r="A16" s="35" t="str">
        <x:v>ASR-CST-P1-008-女主冷静报复</x:v>
      </x:c>
      <x:c r="B16" s="35" t="str">
        <x:v>CST</x:v>
      </x:c>
      <x:c r="C16" s="35" t="str">
        <x:v>女主冷静报复</x:v>
      </x:c>
      <x:c r="D16" s="35" t="str">
        <x:v>P1</x:v>
      </x:c>
      <x:c r="E16" s="35" t="str">
        <x:v>26</x:v>
      </x:c>
      <x:c r="F16" s="35" t="str">
        <x:v>镜头26</x:v>
      </x:c>
      <x:c r="G16" s="35" t="str">
        <x:v>西汉初皇太后掌权期；45—50岁生产范围</x:v>
      </x:c>
      <x:c r="H16" s="35" t="str">
        <x:v>西汉初皇太后掌权期；45—50岁生产范围；详见《资产卡索引》对应ID</x:v>
      </x:c>
      <x:c r="I16" s="35" t="str">
        <x:v>继承女主基础身份的独立状态变体</x:v>
      </x:c>
      <x:c r="J16" s="35" t="str">
        <x:v>真人写实、真实物理材质、低饱和；西汉初皇太后掌权期；45—50岁生产范围</x:v>
      </x:c>
      <x:c r="K16" s="35" t="str">
        <x:v>继承所属场景已确认光影；不得临时创造神光或高饱和环境</x:v>
      </x:c>
      <x:c r="L16" s="35" t="str">
        <x:v>阶段2制作服装/状态变体标准资产、必要视图/状态/声音样本与验证切片</x:v>
      </x:c>
      <x:c r="M16" s="35" t="str">
        <x:v>对应轮回镜头组</x:v>
      </x:c>
      <x:c r="N16" s="35" t="str">
        <x:v>剧本明确;用户指定参考;历史资料调查;创作者建议</x:v>
      </x:c>
      <x:c r="O16" s="35" t="str">
        <x:v>建议采用</x:v>
      </x:c>
      <x:c r="P16" s="35" t="str">
        <x:v>随对应P0资产或第二批生产包制作</x:v>
      </x:c>
    </x:row>
    <x:row r="17" ht="42" customHeight="1">
      <x:c r="A17" s="35" t="str">
        <x:v>ASR-CST-P1-009-女主反噬失去</x:v>
      </x:c>
      <x:c r="B17" s="35" t="str">
        <x:v>CST</x:v>
      </x:c>
      <x:c r="C17" s="35" t="str">
        <x:v>女主反噬失去</x:v>
      </x:c>
      <x:c r="D17" s="35" t="str">
        <x:v>P1</x:v>
      </x:c>
      <x:c r="E17" s="35" t="str">
        <x:v>27</x:v>
      </x:c>
      <x:c r="F17" s="35" t="str">
        <x:v>镜头27</x:v>
      </x:c>
      <x:c r="G17" s="35" t="str">
        <x:v>盛唐756年驿站终局；37岁；尘土暑热与军队压力</x:v>
      </x:c>
      <x:c r="H17" s="35" t="str">
        <x:v>盛唐756年驿站终局；37岁；尘土暑热与军队压力；详见《资产卡索引》对应ID</x:v>
      </x:c>
      <x:c r="I17" s="35" t="str">
        <x:v>继承女主基础身份的独立状态变体</x:v>
      </x:c>
      <x:c r="J17" s="35" t="str">
        <x:v>真人写实、真实物理材质、低饱和；盛唐756年驿站终局；37岁；尘土暑热与军队压力</x:v>
      </x:c>
      <x:c r="K17" s="35" t="str">
        <x:v>继承所属场景已确认光影；不得临时创造神光或高饱和环境</x:v>
      </x:c>
      <x:c r="L17" s="35" t="str">
        <x:v>阶段2制作服装/状态变体标准资产、必要视图/状态/声音样本与验证切片</x:v>
      </x:c>
      <x:c r="M17" s="35" t="str">
        <x:v>对应轮回镜头组</x:v>
      </x:c>
      <x:c r="N17" s="35" t="str">
        <x:v>剧本明确;用户指定参考;历史资料调查;创作者建议</x:v>
      </x:c>
      <x:c r="O17" s="35" t="str">
        <x:v>建议采用</x:v>
      </x:c>
      <x:c r="P17" s="35" t="str">
        <x:v>随对应P0资产或第二批生产包制作</x:v>
      </x:c>
    </x:row>
    <x:row r="18" ht="42" customHeight="1">
      <x:c r="A18" s="35" t="str">
        <x:v>ASR-CST-P1-010-女主白绫末路</x:v>
      </x:c>
      <x:c r="B18" s="35" t="str">
        <x:v>CST</x:v>
      </x:c>
      <x:c r="C18" s="35" t="str">
        <x:v>女主白绫末路</x:v>
      </x:c>
      <x:c r="D18" s="35" t="str">
        <x:v>P1</x:v>
      </x:c>
      <x:c r="E18" s="35" t="str">
        <x:v>28</x:v>
      </x:c>
      <x:c r="F18" s="35" t="str">
        <x:v>镜头28</x:v>
      </x:c>
      <x:c r="G18" s="35" t="str">
        <x:v>西汉前91年宫廷终局；50—60岁生产范围；白绫仅象征</x:v>
      </x:c>
      <x:c r="H18" s="35" t="str">
        <x:v>西汉前91年宫廷终局；50—60岁生产范围；白绫仅象征；详见《资产卡索引》对应ID</x:v>
      </x:c>
      <x:c r="I18" s="35" t="str">
        <x:v>继承女主基础身份的独立状态变体</x:v>
      </x:c>
      <x:c r="J18" s="35" t="str">
        <x:v>真人写实、真实物理材质、低饱和；西汉前91年宫廷终局；50—60岁生产范围；白绫仅象征</x:v>
      </x:c>
      <x:c r="K18" s="35" t="str">
        <x:v>继承所属场景已确认光影；不得临时创造神光或高饱和环境</x:v>
      </x:c>
      <x:c r="L18" s="35" t="str">
        <x:v>阶段2制作服装/状态变体标准资产、必要视图/状态/声音样本与验证切片</x:v>
      </x:c>
      <x:c r="M18" s="35" t="str">
        <x:v>对应轮回镜头组</x:v>
      </x:c>
      <x:c r="N18" s="35" t="str">
        <x:v>剧本明确;用户指定参考;历史资料调查;创作者建议</x:v>
      </x:c>
      <x:c r="O18" s="35" t="str">
        <x:v>建议采用</x:v>
      </x:c>
      <x:c r="P18" s="35" t="str">
        <x:v>随对应P0资产或第二批生产包制作</x:v>
      </x:c>
    </x:row>
    <x:row r="19" ht="42" customHeight="1">
      <x:c r="A19" s="35" t="str">
        <x:v>ASR-CST-P1-011-女主流放长路</x:v>
      </x:c>
      <x:c r="B19" s="35" t="str">
        <x:v>CST</x:v>
      </x:c>
      <x:c r="C19" s="35" t="str">
        <x:v>女主流放长路</x:v>
      </x:c>
      <x:c r="D19" s="35" t="str">
        <x:v>P1</x:v>
      </x:c>
      <x:c r="E19" s="35" t="str">
        <x:v>28</x:v>
      </x:c>
      <x:c r="F19" s="35" t="str">
        <x:v>镜头28</x:v>
      </x:c>
      <x:c r="G19" s="35" t="str">
        <x:v>东汉207年胡汉归途；30—38岁；胡汉混合服装</x:v>
      </x:c>
      <x:c r="H19" s="35" t="str">
        <x:v>东汉207年胡汉归途；30—38岁；胡汉混合服装；详见《资产卡索引》对应ID</x:v>
      </x:c>
      <x:c r="I19" s="35" t="str">
        <x:v>继承女主基础身份的独立状态变体</x:v>
      </x:c>
      <x:c r="J19" s="35" t="str">
        <x:v>真人写实、真实物理材质、低饱和；东汉207年胡汉归途；30—38岁；胡汉混合服装</x:v>
      </x:c>
      <x:c r="K19" s="35" t="str">
        <x:v>继承所属场景已确认光影；不得临时创造神光或高饱和环境</x:v>
      </x:c>
      <x:c r="L19" s="35" t="str">
        <x:v>阶段2制作服装/状态变体标准资产、必要视图/状态/声音样本与验证切片</x:v>
      </x:c>
      <x:c r="M19" s="35" t="str">
        <x:v>对应轮回镜头组</x:v>
      </x:c>
      <x:c r="N19" s="35" t="str">
        <x:v>剧本明确;用户指定参考;历史资料调查;创作者建议</x:v>
      </x:c>
      <x:c r="O19" s="35" t="str">
        <x:v>建议采用</x:v>
      </x:c>
      <x:c r="P19" s="35" t="str">
        <x:v>随对应P0资产或第二批生产包制作</x:v>
      </x:c>
    </x:row>
    <x:row r="20" ht="42" customHeight="1">
      <x:c r="A20" s="35" t="str">
        <x:v>ASR-CST-P1-012-女主刀锋临身</x:v>
      </x:c>
      <x:c r="B20" s="35" t="str">
        <x:v>CST</x:v>
      </x:c>
      <x:c r="C20" s="35" t="str">
        <x:v>女主刀锋临身</x:v>
      </x:c>
      <x:c r="D20" s="35" t="str">
        <x:v>P1</x:v>
      </x:c>
      <x:c r="E20" s="35" t="str">
        <x:v>28</x:v>
      </x:c>
      <x:c r="F20" s="35" t="str">
        <x:v>镜头28</x:v>
      </x:c>
      <x:c r="G20" s="35" t="str">
        <x:v>清初1643年皇位危机；30岁；刀锋仅象征政治危险</x:v>
      </x:c>
      <x:c r="H20" s="35" t="str">
        <x:v>清初1643年皇位危机；30岁；刀锋仅象征政治危险；详见《资产卡索引》对应ID</x:v>
      </x:c>
      <x:c r="I20" s="35" t="str">
        <x:v>继承女主基础身份的独立状态变体</x:v>
      </x:c>
      <x:c r="J20" s="35" t="str">
        <x:v>真人写实、真实物理材质、低饱和；清初1643年皇位危机；30岁；刀锋仅象征政治危险</x:v>
      </x:c>
      <x:c r="K20" s="35" t="str">
        <x:v>继承所属场景已确认光影；不得临时创造神光或高饱和环境</x:v>
      </x:c>
      <x:c r="L20" s="35" t="str">
        <x:v>阶段2制作服装/状态变体标准资产、必要视图/状态/声音样本与验证切片</x:v>
      </x:c>
      <x:c r="M20" s="35" t="str">
        <x:v>对应轮回镜头组</x:v>
      </x:c>
      <x:c r="N20" s="35" t="str">
        <x:v>剧本明确;用户指定参考;历史资料调查;创作者建议</x:v>
      </x:c>
      <x:c r="O20" s="35" t="str">
        <x:v>建议采用</x:v>
      </x:c>
      <x:c r="P20" s="35" t="str">
        <x:v>随对应P0资产或第二批生产包制作</x:v>
      </x:c>
    </x:row>
    <x:row r="21" ht="42" customHeight="1">
      <x:c r="A21" s="35" t="str">
        <x:v>ASR-CST-P1-013-女主千夫所指</x:v>
      </x:c>
      <x:c r="B21" s="35" t="str">
        <x:v>CST</x:v>
      </x:c>
      <x:c r="C21" s="35" t="str">
        <x:v>女主千夫所指</x:v>
      </x:c>
      <x:c r="D21" s="35" t="str">
        <x:v>P1</x:v>
      </x:c>
      <x:c r="E21" s="35" t="str">
        <x:v>28</x:v>
      </x:c>
      <x:c r="F21" s="35" t="str">
        <x:v>镜头28</x:v>
      </x:c>
      <x:c r="G21" s="35" t="str">
        <x:v>中晚唐女性入道状态；24—32岁；道袍、冠巾与道观庭院</x:v>
      </x:c>
      <x:c r="H21" s="35" t="str">
        <x:v>中晚唐女性入道状态；24—32岁；道袍、冠巾与道观庭院；详见《资产卡索引》对应ID</x:v>
      </x:c>
      <x:c r="I21" s="35" t="str">
        <x:v>继承女主基础身份的独立状态变体</x:v>
      </x:c>
      <x:c r="J21" s="35" t="str">
        <x:v>真人写实、真实物理材质、低饱和；中晚唐女性入道状态；24—32岁；道袍、冠巾与道观庭院</x:v>
      </x:c>
      <x:c r="K21" s="35" t="str">
        <x:v>继承所属场景已确认光影；不得临时创造神光或高饱和环境</x:v>
      </x:c>
      <x:c r="L21" s="35" t="str">
        <x:v>阶段2制作服装/状态变体标准资产、必要视图/状态/声音样本与验证切片</x:v>
      </x:c>
      <x:c r="M21" s="35" t="str">
        <x:v>对应轮回镜头组</x:v>
      </x:c>
      <x:c r="N21" s="35" t="str">
        <x:v>剧本明确;用户指定参考;历史资料调查;创作者建议</x:v>
      </x:c>
      <x:c r="O21" s="35" t="str">
        <x:v>建议采用</x:v>
      </x:c>
      <x:c r="P21" s="35" t="str">
        <x:v>随对应P0资产或第二批生产包制作</x:v>
      </x:c>
    </x:row>
    <x:row r="22" ht="42" customHeight="1">
      <x:c r="A22" s="35" t="str">
        <x:v>ASR-CST-P0-014-女主佛前归来</x:v>
      </x:c>
      <x:c r="B22" s="35" t="str">
        <x:v>CST</x:v>
      </x:c>
      <x:c r="C22" s="35" t="str">
        <x:v>女主佛前归来</x:v>
      </x:c>
      <x:c r="D22" s="35" t="str">
        <x:v>P0</x:v>
      </x:c>
      <x:c r="E22" s="35" t="str">
        <x:v>29</x:v>
      </x:c>
      <x:c r="F22" s="35" t="str">
        <x:v>镜头29</x:v>
      </x:c>
      <x:c r="G22" s="35" t="str">
        <x:v>恢复佛国20—22岁外观；接叶、轻笑、合掌；叶片完好</x:v>
      </x:c>
      <x:c r="H22" s="35" t="str">
        <x:v>恢复佛国20—22岁外观；接叶、轻笑、合掌；叶片完好；详见《资产卡索引》对应ID</x:v>
      </x:c>
      <x:c r="I22" s="35" t="str">
        <x:v>继承女主基础身份的独立状态变体</x:v>
      </x:c>
      <x:c r="J22" s="35" t="str">
        <x:v>真人写实、真实物理材质、低饱和；恢复佛国20—22岁外观；接叶、轻笑、合掌；叶片完好</x:v>
      </x:c>
      <x:c r="K22" s="35" t="str">
        <x:v>继承所属场景已确认光影；不得临时创造神光或高饱和环境</x:v>
      </x:c>
      <x:c r="L22" s="35" t="str">
        <x:v>阶段2制作服装/状态变体标准资产、必要视图/状态/声音样本与验证切片</x:v>
      </x:c>
      <x:c r="M22" s="35" t="str">
        <x:v>对应轮回镜头组</x:v>
      </x:c>
      <x:c r="N22" s="35" t="str">
        <x:v>剧本明确;项目锁定;合理推断</x:v>
      </x:c>
      <x:c r="O22" s="35" t="str">
        <x:v>建议采用</x:v>
      </x:c>
      <x:c r="P22" s="35" t="str">
        <x:v>进入第一批或随P0共同依赖包制作；先验证后批量</x:v>
      </x:c>
    </x:row>
    <x:row r="23" ht="42" customHeight="1">
      <x:c r="A23" s="35" t="str">
        <x:v>ASR-VOI-P0-001-女主千年同声纹</x:v>
      </x:c>
      <x:c r="B23" s="35" t="str">
        <x:v>VOI</x:v>
      </x:c>
      <x:c r="C23" s="35" t="str">
        <x:v>女主千年同声纹</x:v>
      </x:c>
      <x:c r="D23" s="35" t="str">
        <x:v>P0</x:v>
      </x:c>
      <x:c r="E23" s="35" t="str">
        <x:v>05、10、19、29、30</x:v>
      </x:c>
      <x:c r="F23" s="35" t="str">
        <x:v>镜头05、10、19、29、30</x:v>
      </x:c>
      <x:c r="G23" s="35" t="str">
        <x:v>中低至中音域，清冷克制；VO与轻口型同声纹</x:v>
      </x:c>
      <x:c r="H23" s="35" t="str">
        <x:v>中低至中音域，清冷克制；VO与轻口型同声纹；详见《资产卡索引》对应ID</x:v>
      </x:c>
      <x:c r="I23" s="35" t="str">
        <x:v>按资产卡要求生成基础态与必要关系切片</x:v>
      </x:c>
      <x:c r="J23" s="35" t="str">
        <x:v>中低至中音域，清冷克制；VO与轻口型同声纹</x:v>
      </x:c>
      <x:c r="K23" s="35" t="str">
        <x:v>继承所属场景已确认光影；不得临时创造神光或高饱和环境</x:v>
      </x:c>
      <x:c r="L23" s="35" t="str">
        <x:v>阶段2制作人物/群体声音标准资产、必要视图/状态/声音样本与验证切片</x:v>
      </x:c>
      <x:c r="M23" s="35" t="str">
        <x:v>镜头05、10、19、29、30</x:v>
      </x:c>
      <x:c r="N23" s="35" t="str">
        <x:v>剧本明确;项目锁定;创作者建议</x:v>
      </x:c>
      <x:c r="O23" s="35" t="str">
        <x:v>待外部回流</x:v>
      </x:c>
      <x:c r="P23" s="35" t="str">
        <x:v>进入第一批或随P0共同依赖包制作；先验证后批量</x:v>
      </x:c>
    </x:row>
    <x:row r="24" ht="42" customHeight="1">
      <x:c r="A24" s="35" t="str">
        <x:v>ASR-VOI-P1-002-佛远讲经声</x:v>
      </x:c>
      <x:c r="B24" s="35" t="str">
        <x:v>VOI</x:v>
      </x:c>
      <x:c r="C24" s="35" t="str">
        <x:v>佛远讲经声</x:v>
      </x:c>
      <x:c r="D24" s="35" t="str">
        <x:v>P1</x:v>
      </x:c>
      <x:c r="E24" s="35" t="str">
        <x:v>07、11</x:v>
      </x:c>
      <x:c r="F24" s="35" t="str">
        <x:v>镜头07、11</x:v>
      </x:c>
      <x:c r="G24" s="35" t="str">
        <x:v>Seedance镜头Prompt原生生成；不单独制作音频资产；只听节律不清句子</x:v>
      </x:c>
      <x:c r="H24" s="35" t="str">
        <x:v>Seedance镜头Prompt原生生成；不单独制作音频资产；只听节律不清句子；详见《资产卡索引》对应ID</x:v>
      </x:c>
      <x:c r="I24" s="35" t="str">
        <x:v>按资产卡要求生成基础态与必要关系切片</x:v>
      </x:c>
      <x:c r="J24" s="35" t="str">
        <x:v>Seedance镜头Prompt原生生成；不单独制作音频资产；只听节律不清句子</x:v>
      </x:c>
      <x:c r="K24" s="35" t="str">
        <x:v>继承所属场景已确认光影；不得临时创造神光或高饱和环境</x:v>
      </x:c>
      <x:c r="L24" s="35" t="str">
        <x:v>阶段2写入Seedance镜头Prompt声音规范；不单独制作音频资产；失败时后期替换</x:v>
      </x:c>
      <x:c r="M24" s="35" t="str">
        <x:v>镜头07、11</x:v>
      </x:c>
      <x:c r="N24" s="35" t="str">
        <x:v>剧本明确;项目锁定;创作者建议</x:v>
      </x:c>
      <x:c r="O24" s="35" t="str">
        <x:v>镜头Prompt控制</x:v>
      </x:c>
      <x:c r="P24" s="35" t="str">
        <x:v>随对应P0资产或第二批生产包制作</x:v>
      </x:c>
    </x:row>
    <x:row r="25" ht="42" customHeight="1">
      <x:c r="A25" s="35" t="str">
        <x:v>ASR-VOI-P1-003-众声低诵与问句</x:v>
      </x:c>
      <x:c r="B25" s="35" t="str">
        <x:v>VOI</x:v>
      </x:c>
      <x:c r="C25" s="35" t="str">
        <x:v>众声低诵与问句</x:v>
      </x:c>
      <x:c r="D25" s="35" t="str">
        <x:v>P1</x:v>
      </x:c>
      <x:c r="E25" s="35" t="str">
        <x:v>28-29</x:v>
      </x:c>
      <x:c r="F25" s="35" t="str">
        <x:v>镜头28-29</x:v>
      </x:c>
      <x:c r="G25" s="35" t="str">
        <x:v>Seedance镜头Prompt原生生成；不单独制作音频资产；失败时后期替换</x:v>
      </x:c>
      <x:c r="H25" s="35" t="str">
        <x:v>Seedance镜头Prompt原生生成；不单独制作音频资产；失败时后期替换；详见《资产卡索引》对应ID</x:v>
      </x:c>
      <x:c r="I25" s="35" t="str">
        <x:v>按资产卡要求生成基础态与必要关系切片</x:v>
      </x:c>
      <x:c r="J25" s="35" t="str">
        <x:v>Seedance镜头Prompt原生生成；不单独制作音频资产；失败时后期替换</x:v>
      </x:c>
      <x:c r="K25" s="35" t="str">
        <x:v>继承所属场景已确认光影；不得临时创造神光或高饱和环境</x:v>
      </x:c>
      <x:c r="L25" s="35" t="str">
        <x:v>阶段2写入Seedance镜头Prompt声音规范；不单独制作音频资产；失败时后期替换</x:v>
      </x:c>
      <x:c r="M25" s="35" t="str">
        <x:v>镜头28-29</x:v>
      </x:c>
      <x:c r="N25" s="35" t="str">
        <x:v>剧本明确;项目锁定;创作者建议</x:v>
      </x:c>
      <x:c r="O25" s="35" t="str">
        <x:v>镜头Prompt控制</x:v>
      </x:c>
      <x:c r="P25" s="35" t="str">
        <x:v>随对应P0资产或第二批生产包制作</x:v>
      </x:c>
    </x:row>
    <x:row r="26" ht="42" customHeight="1">
      <x:c r="A26" s="35" t="str">
        <x:v>ASR-SCN-P0-001-佛国远山寺宇</x:v>
      </x:c>
      <x:c r="B26" s="35" t="str">
        <x:v>SCN</x:v>
      </x:c>
      <x:c r="C26" s="35" t="str">
        <x:v>佛国远山寺宇</x:v>
      </x:c>
      <x:c r="D26" s="35" t="str">
        <x:v>P0</x:v>
      </x:c>
      <x:c r="E26" s="35" t="str">
        <x:v>02、18</x:v>
      </x:c>
      <x:c r="F26" s="35" t="str">
        <x:v>镜头02、18</x:v>
      </x:c>
      <x:c r="G26" s="35" t="str">
        <x:v>真实山雾与低对比寺宇；天空占大部；无仙境神迹</x:v>
      </x:c>
      <x:c r="H26" s="35" t="str">
        <x:v>真实山雾与低对比寺宇；天空占大部；无仙境神迹；详见《资产卡索引》对应ID</x:v>
      </x:c>
      <x:c r="I26" s="35" t="str">
        <x:v>按资产卡要求生成基础态与必要关系切片</x:v>
      </x:c>
      <x:c r="J26" s="35" t="str">
        <x:v>真人写实、真实物理材质、低饱和；真实山雾与低对比寺宇；天空占大部；无仙境神迹</x:v>
      </x:c>
      <x:c r="K26" s="35" t="str">
        <x:v>真实山雾与低对比寺宇；天空占大部；无仙境神迹</x:v>
      </x:c>
      <x:c r="L26" s="35" t="str">
        <x:v>阶段2制作场景/地点标准资产、必要视图/状态/声音样本与验证切片</x:v>
      </x:c>
      <x:c r="M26" s="35" t="str">
        <x:v>镜头02、18</x:v>
      </x:c>
      <x:c r="N26" s="35" t="str">
        <x:v>剧本明确;合理推断;创作者建议</x:v>
      </x:c>
      <x:c r="O26" s="35" t="str">
        <x:v>生产策略已锁定</x:v>
      </x:c>
      <x:c r="P26" s="35" t="str">
        <x:v>进入第一批或随P0共同依赖包制作；先验证后批量</x:v>
      </x:c>
    </x:row>
    <x:row r="27" ht="42" customHeight="1">
      <x:c r="A27" s="35" t="str">
        <x:v>ASR-SCN-P0-002-殿内修行空间</x:v>
      </x:c>
      <x:c r="B27" s="35" t="str">
        <x:v>SCN</x:v>
      </x:c>
      <x:c r="C27" s="35" t="str">
        <x:v>殿内修行空间</x:v>
      </x:c>
      <x:c r="D27" s="35" t="str">
        <x:v>P0</x:v>
      </x:c>
      <x:c r="E27" s="35" t="str">
        <x:v>03-05、10-13、15、17-19</x:v>
      </x:c>
      <x:c r="F27" s="35" t="str">
        <x:v>镜头03-05、10-13、15、17-19</x:v>
      </x:c>
      <x:c r="G27" s="35" t="str">
        <x:v>女主偏后、比丘尼前侧、殿门通庭院；固定客观轴线</x:v>
      </x:c>
      <x:c r="H27" s="35" t="str">
        <x:v>女主偏后、比丘尼前侧、殿门通庭院；固定客观轴线；详见《资产卡索引》对应ID</x:v>
      </x:c>
      <x:c r="I27" s="35" t="str">
        <x:v>按资产卡要求生成基础态与必要关系切片</x:v>
      </x:c>
      <x:c r="J27" s="35" t="str">
        <x:v>真人写实、真实物理材质、低饱和；女主偏后、比丘尼前侧、殿门通庭院；固定客观轴线</x:v>
      </x:c>
      <x:c r="K27" s="35" t="str">
        <x:v>女主偏后、比丘尼前侧、殿门通庭院；固定客观轴线</x:v>
      </x:c>
      <x:c r="L27" s="35" t="str">
        <x:v>阶段2制作场景/地点标准资产、必要视图/状态/声音样本与验证切片</x:v>
      </x:c>
      <x:c r="M27" s="35" t="str">
        <x:v>镜头03-05、10-13、15、17-19</x:v>
      </x:c>
      <x:c r="N27" s="35" t="str">
        <x:v>剧本明确;合理推断;创作者建议</x:v>
      </x:c>
      <x:c r="O27" s="35" t="str">
        <x:v>生产策略已锁定</x:v>
      </x:c>
      <x:c r="P27" s="35" t="str">
        <x:v>进入第一批或随P0共同依赖包制作；先验证后批量</x:v>
      </x:c>
    </x:row>
    <x:row r="28" ht="42" customHeight="1">
      <x:c r="A28" s="35" t="str">
        <x:v>ASR-SCN-P0-003-殿门庭院树下讲经一体场景</x:v>
      </x:c>
      <x:c r="B28" s="35" t="str">
        <x:v>SCN</x:v>
      </x:c>
      <x:c r="C28" s="35" t="str">
        <x:v>殿门庭院树下讲经一体场景</x:v>
      </x:c>
      <x:c r="D28" s="35" t="str">
        <x:v>P0</x:v>
      </x:c>
      <x:c r="E28" s="35" t="str">
        <x:v>06-08、11、14-16、18</x:v>
      </x:c>
      <x:c r="F28" s="35" t="str">
        <x:v>镜头06-08、11、14-16、18</x:v>
      </x:c>
      <x:c r="G28" s="35" t="str">
        <x:v>门槛、庭院、树、讲经区与远山沿同一空间轴线</x:v>
      </x:c>
      <x:c r="H28" s="35" t="str">
        <x:v>门槛、庭院、树、讲经区与远山沿同一空间轴线；详见《资产卡索引》对应ID</x:v>
      </x:c>
      <x:c r="I28" s="35" t="str">
        <x:v>按资产卡要求生成基础态与必要关系切片</x:v>
      </x:c>
      <x:c r="J28" s="35" t="str">
        <x:v>真人写实、真实物理材质、低饱和；门槛、庭院、树、讲经区与远山沿同一空间轴线</x:v>
      </x:c>
      <x:c r="K28" s="35" t="str">
        <x:v>门槛、庭院、树、讲经区与远山沿同一空间轴线</x:v>
      </x:c>
      <x:c r="L28" s="35" t="str">
        <x:v>阶段2制作场景/地点标准资产、必要视图/状态/声音样本与验证切片</x:v>
      </x:c>
      <x:c r="M28" s="35" t="str">
        <x:v>镜头06-08、11、14-16、18</x:v>
      </x:c>
      <x:c r="N28" s="35" t="str">
        <x:v>剧本明确;合理推断;创作者建议</x:v>
      </x:c>
      <x:c r="O28" s="35" t="str">
        <x:v>生产策略已锁定</x:v>
      </x:c>
      <x:c r="P28" s="35" t="str">
        <x:v>进入第一批或随P0共同依赖包制作；先验证后批量</x:v>
      </x:c>
    </x:row>
    <x:row r="29" ht="42" customHeight="1">
      <x:c r="A29" s="35" t="str">
        <x:v>ASR-SCN-P1-004-黑暗掌心空间</x:v>
      </x:c>
      <x:c r="B29" s="35" t="str">
        <x:v>SCN</x:v>
      </x:c>
      <x:c r="C29" s="35" t="str">
        <x:v>黑暗掌心空间</x:v>
      </x:c>
      <x:c r="D29" s="35" t="str">
        <x:v>P1</x:v>
      </x:c>
      <x:c r="E29" s="35" t="str">
        <x:v>19</x:v>
      </x:c>
      <x:c r="F29" s="35" t="str">
        <x:v>镜头19</x:v>
      </x:c>
      <x:c r="G29" s="35" t="str">
        <x:v>近黑，只读出手、念珠和极弱反光</x:v>
      </x:c>
      <x:c r="H29" s="35" t="str">
        <x:v>近黑，只读出手、念珠和极弱反光；详见《资产卡索引》对应ID</x:v>
      </x:c>
      <x:c r="I29" s="35" t="str">
        <x:v>按资产卡要求生成基础态与必要关系切片</x:v>
      </x:c>
      <x:c r="J29" s="35" t="str">
        <x:v>真人写实、真实物理材质、低饱和；近黑，只读出手、念珠和极弱反光</x:v>
      </x:c>
      <x:c r="K29" s="35" t="str">
        <x:v>近黑，只读出手、念珠和极弱反光</x:v>
      </x:c>
      <x:c r="L29" s="35" t="str">
        <x:v>阶段2制作场景/地点标准资产、必要视图/状态/声音样本与验证切片</x:v>
      </x:c>
      <x:c r="M29" s="35" t="str">
        <x:v>镜头19</x:v>
      </x:c>
      <x:c r="N29" s="35" t="str">
        <x:v>剧本明确;合理推断;创作者建议</x:v>
      </x:c>
      <x:c r="O29" s="35" t="str">
        <x:v>生产策略已锁定</x:v>
      </x:c>
      <x:c r="P29" s="35" t="str">
        <x:v>随对应P0资产或第二批生产包制作</x:v>
      </x:c>
    </x:row>
    <x:row r="30" ht="42" customHeight="1">
      <x:c r="A30" s="35" t="str">
        <x:v>ASR-SCN-P1-005-王府深院</x:v>
      </x:c>
      <x:c r="B30" s="35" t="str">
        <x:v>SCN</x:v>
      </x:c>
      <x:c r="C30" s="35" t="str">
        <x:v>王府深院</x:v>
      </x:c>
      <x:c r="D30" s="35" t="str">
        <x:v>P1</x:v>
      </x:c>
      <x:c r="E30" s="35" t="str">
        <x:v>21</x:v>
      </x:c>
      <x:c r="F30" s="35" t="str">
        <x:v>镜头21</x:v>
      </x:c>
      <x:c r="G30" s="35" t="str">
        <x:v>人群边缘与越众目光方向明确</x:v>
      </x:c>
      <x:c r="H30" s="35" t="str">
        <x:v>人群边缘与越众目光方向明确；详见《资产卡索引》对应ID</x:v>
      </x:c>
      <x:c r="I30" s="35" t="str">
        <x:v>按资产卡要求生成基础态与必要关系切片</x:v>
      </x:c>
      <x:c r="J30" s="35" t="str">
        <x:v>真人写实、真实物理材质、低饱和；人群边缘与越众目光方向明确</x:v>
      </x:c>
      <x:c r="K30" s="35" t="str">
        <x:v>人群边缘与越众目光方向明确</x:v>
      </x:c>
      <x:c r="L30" s="35" t="str">
        <x:v>阶段2制作场景/地点标准资产、必要视图/状态/声音样本与验证切片</x:v>
      </x:c>
      <x:c r="M30" s="35" t="str">
        <x:v>镜头21</x:v>
      </x:c>
      <x:c r="N30" s="35" t="str">
        <x:v>剧本明确;合理推断;创作者建议</x:v>
      </x:c>
      <x:c r="O30" s="35" t="str">
        <x:v>生产策略已锁定</x:v>
      </x:c>
      <x:c r="P30" s="35" t="str">
        <x:v>随对应P0资产或第二批生产包制作</x:v>
      </x:c>
    </x:row>
    <x:row r="31" ht="42" customHeight="1">
      <x:c r="A31" s="35" t="str">
        <x:v>ASR-SCN-P1-006-灯下内室</x:v>
      </x:c>
      <x:c r="B31" s="35" t="str">
        <x:v>SCN</x:v>
      </x:c>
      <x:c r="C31" s="35" t="str">
        <x:v>灯下内室</x:v>
      </x:c>
      <x:c r="D31" s="35" t="str">
        <x:v>P1</x:v>
      </x:c>
      <x:c r="E31" s="35" t="str">
        <x:v>22</x:v>
      </x:c>
      <x:c r="F31" s="35" t="str">
        <x:v>镜头22</x:v>
      </x:c>
      <x:c r="G31" s="35" t="str">
        <x:v>手部相握与不完整人影；亲密而克制</x:v>
      </x:c>
      <x:c r="H31" s="35" t="str">
        <x:v>手部相握与不完整人影；亲密而克制；详见《资产卡索引》对应ID</x:v>
      </x:c>
      <x:c r="I31" s="35" t="str">
        <x:v>按资产卡要求生成基础态与必要关系切片</x:v>
      </x:c>
      <x:c r="J31" s="35" t="str">
        <x:v>真人写实、真实物理材质、低饱和；手部相握与不完整人影；亲密而克制</x:v>
      </x:c>
      <x:c r="K31" s="35" t="str">
        <x:v>手部相握与不完整人影；亲密而克制</x:v>
      </x:c>
      <x:c r="L31" s="35" t="str">
        <x:v>阶段2制作场景/地点标准资产、必要视图/状态/声音样本与验证切片</x:v>
      </x:c>
      <x:c r="M31" s="35" t="str">
        <x:v>镜头22</x:v>
      </x:c>
      <x:c r="N31" s="35" t="str">
        <x:v>剧本明确;合理推断;创作者建议</x:v>
      </x:c>
      <x:c r="O31" s="35" t="str">
        <x:v>生产策略已锁定</x:v>
      </x:c>
      <x:c r="P31" s="35" t="str">
        <x:v>随对应P0资产或第二批生产包制作</x:v>
      </x:c>
    </x:row>
    <x:row r="32" ht="42" customHeight="1">
      <x:c r="A32" s="35" t="str">
        <x:v>ASR-SCN-P1-007-帘后目击空间</x:v>
      </x:c>
      <x:c r="B32" s="35" t="str">
        <x:v>SCN</x:v>
      </x:c>
      <x:c r="C32" s="35" t="str">
        <x:v>帘后目击空间</x:v>
      </x:c>
      <x:c r="D32" s="35" t="str">
        <x:v>P1</x:v>
      </x:c>
      <x:c r="E32" s="35" t="str">
        <x:v>23</x:v>
      </x:c>
      <x:c r="F32" s="35" t="str">
        <x:v>镜头23</x:v>
      </x:c>
      <x:c r="G32" s="35" t="str">
        <x:v>帘影分隔女主与递簪动作；正反方向明确</x:v>
      </x:c>
      <x:c r="H32" s="35" t="str">
        <x:v>帘影分隔女主与递簪动作；正反方向明确；详见《资产卡索引》对应ID</x:v>
      </x:c>
      <x:c r="I32" s="35" t="str">
        <x:v>按资产卡要求生成基础态与必要关系切片</x:v>
      </x:c>
      <x:c r="J32" s="35" t="str">
        <x:v>真人写实、真实物理材质、低饱和；帘影分隔女主与递簪动作；正反方向明确</x:v>
      </x:c>
      <x:c r="K32" s="35" t="str">
        <x:v>帘影分隔女主与递簪动作；正反方向明确</x:v>
      </x:c>
      <x:c r="L32" s="35" t="str">
        <x:v>阶段2制作场景/地点标准资产、必要视图/状态/声音样本与验证切片</x:v>
      </x:c>
      <x:c r="M32" s="35" t="str">
        <x:v>镜头23</x:v>
      </x:c>
      <x:c r="N32" s="35" t="str">
        <x:v>剧本明确;合理推断;创作者建议</x:v>
      </x:c>
      <x:c r="O32" s="35" t="str">
        <x:v>生产策略已锁定</x:v>
      </x:c>
      <x:c r="P32" s="35" t="str">
        <x:v>随对应P0资产或第二批生产包制作</x:v>
      </x:c>
    </x:row>
    <x:row r="33" ht="42" customHeight="1">
      <x:c r="A33" s="35" t="str">
        <x:v>ASR-SCN-P1-008-宫廷垂帘大殿</x:v>
      </x:c>
      <x:c r="B33" s="35" t="str">
        <x:v>SCN</x:v>
      </x:c>
      <x:c r="C33" s="35" t="str">
        <x:v>宫廷垂帘大殿</x:v>
      </x:c>
      <x:c r="D33" s="35" t="str">
        <x:v>P1</x:v>
      </x:c>
      <x:c r="E33" s="35" t="str">
        <x:v>25-26</x:v>
      </x:c>
      <x:c r="F33" s="35" t="str">
        <x:v>镜头25-26</x:v>
      </x:c>
      <x:c r="G33" s="35" t="str">
        <x:v>高位、垂帘、群臣和通道形成真实尺度</x:v>
      </x:c>
      <x:c r="H33" s="35" t="str">
        <x:v>高位、垂帘、群臣和通道形成真实尺度；详见《资产卡索引》对应ID</x:v>
      </x:c>
      <x:c r="I33" s="35" t="str">
        <x:v>按资产卡要求生成基础态与必要关系切片</x:v>
      </x:c>
      <x:c r="J33" s="35" t="str">
        <x:v>真人写实、真实物理材质、低饱和；高位、垂帘、群臣和通道形成真实尺度</x:v>
      </x:c>
      <x:c r="K33" s="35" t="str">
        <x:v>高位、垂帘、群臣和通道形成真实尺度</x:v>
      </x:c>
      <x:c r="L33" s="35" t="str">
        <x:v>阶段2制作场景/地点标准资产、必要视图/状态/声音样本与验证切片</x:v>
      </x:c>
      <x:c r="M33" s="35" t="str">
        <x:v>镜头25-26</x:v>
      </x:c>
      <x:c r="N33" s="35" t="str">
        <x:v>剧本明确;合理推断;创作者建议</x:v>
      </x:c>
      <x:c r="O33" s="35" t="str">
        <x:v>生产策略已锁定</x:v>
      </x:c>
      <x:c r="P33" s="35" t="str">
        <x:v>随对应P0资产或第二批生产包制作</x:v>
      </x:c>
    </x:row>
    <x:row r="34" ht="42" customHeight="1">
      <x:c r="A34" s="35" t="str">
        <x:v>ASR-SCN-P1-009-盛唐驿站终局空间</x:v>
      </x:c>
      <x:c r="B34" s="35" t="str">
        <x:v>SCN</x:v>
      </x:c>
      <x:c r="C34" s="35" t="str">
        <x:v>盛唐驿站终局空间</x:v>
      </x:c>
      <x:c r="D34" s="35" t="str">
        <x:v>P1</x:v>
      </x:c>
      <x:c r="E34" s="35" t="str">
        <x:v>27</x:v>
      </x:c>
      <x:c r="F34" s="35" t="str">
        <x:v>镜头27</x:v>
      </x:c>
      <x:c r="G34" s="35" t="str">
        <x:v>驿站、军队压力和出口方向明确；尘土暑热，不使用风雪</x:v>
      </x:c>
      <x:c r="H34" s="35" t="str">
        <x:v>驿站、军队压力和出口方向明确；尘土暑热，不使用风雪；详见《资产卡索引》对应ID</x:v>
      </x:c>
      <x:c r="I34" s="35" t="str">
        <x:v>按资产卡要求生成基础态与必要关系切片</x:v>
      </x:c>
      <x:c r="J34" s="35" t="str">
        <x:v>真人写实、真实物理材质、低饱和；驿站、军队压力和出口方向明确；尘土暑热，不使用风雪</x:v>
      </x:c>
      <x:c r="K34" s="35" t="str">
        <x:v>驿站、军队压力和出口方向明确；尘土暑热，不使用风雪</x:v>
      </x:c>
      <x:c r="L34" s="35" t="str">
        <x:v>阶段2制作场景/地点标准资产、必要视图/状态/声音样本与验证切片</x:v>
      </x:c>
      <x:c r="M34" s="35" t="str">
        <x:v>镜头27</x:v>
      </x:c>
      <x:c r="N34" s="35" t="str">
        <x:v>剧本明确;合理推断;创作者建议</x:v>
      </x:c>
      <x:c r="O34" s="35" t="str">
        <x:v>生产策略已锁定</x:v>
      </x:c>
      <x:c r="P34" s="35" t="str">
        <x:v>随对应P0资产或第二批生产包制作</x:v>
      </x:c>
    </x:row>
    <x:row r="35" ht="42" customHeight="1">
      <x:c r="A35" s="35" t="str">
        <x:v>ASR-SCN-P1-010-风雪反噬空间</x:v>
      </x:c>
      <x:c r="B35" s="35" t="str">
        <x:v>SCN</x:v>
      </x:c>
      <x:c r="C35" s="35" t="str">
        <x:v>风雪反噬空间</x:v>
      </x:c>
      <x:c r="D35" s="35" t="str">
        <x:v>P1</x:v>
      </x:c>
      <x:c r="E35" s="35" t="str">
        <x:v>27</x:v>
      </x:c>
      <x:c r="F35" s="35" t="str">
        <x:v>镜头27</x:v>
      </x:c>
      <x:c r="G35" s="35" t="str">
        <x:v>风雪与火光短促叠化环境</x:v>
      </x:c>
      <x:c r="H35" s="35" t="str">
        <x:v>风雪与火光短促叠化环境；详见《资产卡索引》对应ID</x:v>
      </x:c>
      <x:c r="I35" s="35" t="str">
        <x:v>按资产卡要求生成基础态与必要关系切片</x:v>
      </x:c>
      <x:c r="J35" s="35" t="str">
        <x:v>真人写实、真实物理材质、低饱和；风雪与火光短促叠化环境</x:v>
      </x:c>
      <x:c r="K35" s="35" t="str">
        <x:v>风雪与火光短促叠化环境</x:v>
      </x:c>
      <x:c r="L35" s="35" t="str">
        <x:v>阶段2制作场景/地点标准资产、必要视图/状态/声音样本与验证切片</x:v>
      </x:c>
      <x:c r="M35" s="35" t="str">
        <x:v>镜头27</x:v>
      </x:c>
      <x:c r="N35" s="35" t="str">
        <x:v>剧本明确;合理推断;创作者建议</x:v>
      </x:c>
      <x:c r="O35" s="35" t="str">
        <x:v>生产策略已锁定</x:v>
      </x:c>
      <x:c r="P35" s="35" t="str">
        <x:v>随对应P0资产或第二批生产包制作</x:v>
      </x:c>
    </x:row>
    <x:row r="36" ht="42" customHeight="1">
      <x:c r="A36" s="35" t="str">
        <x:v>ASR-SCN-P2-011-空床内室</x:v>
      </x:c>
      <x:c r="B36" s="35" t="str">
        <x:v>SCN</x:v>
      </x:c>
      <x:c r="C36" s="35" t="str">
        <x:v>空床内室</x:v>
      </x:c>
      <x:c r="D36" s="35" t="str">
        <x:v>P2</x:v>
      </x:c>
      <x:c r="E36" s="35" t="str">
        <x:v>27</x:v>
      </x:c>
      <x:c r="F36" s="35" t="str">
        <x:v>镜头27</x:v>
      </x:c>
      <x:c r="G36" s="35" t="str">
        <x:v>单一空床，冷暗无人，短促叠化</x:v>
      </x:c>
      <x:c r="H36" s="35" t="str">
        <x:v>单一空床，冷暗无人，短促叠化；详见《资产卡索引》对应ID</x:v>
      </x:c>
      <x:c r="I36" s="35" t="str">
        <x:v>按资产卡要求生成基础态与必要关系切片</x:v>
      </x:c>
      <x:c r="J36" s="35" t="str">
        <x:v>真人写实、真实物理材质、低饱和；单一空床，冷暗无人，短促叠化</x:v>
      </x:c>
      <x:c r="K36" s="35" t="str">
        <x:v>单一空床，冷暗无人，短促叠化</x:v>
      </x:c>
      <x:c r="L36" s="35" t="str">
        <x:v>阶段2制作场景/地点标准资产、必要视图/状态/声音样本与验证切片</x:v>
      </x:c>
      <x:c r="M36" s="35" t="str">
        <x:v>镜头27</x:v>
      </x:c>
      <x:c r="N36" s="35" t="str">
        <x:v>剧本明确;合理推断;创作者建议</x:v>
      </x:c>
      <x:c r="O36" s="35" t="str">
        <x:v>生产策略已锁定</x:v>
      </x:c>
      <x:c r="P36" s="35" t="str">
        <x:v>主资产通过后按镜头缺口后置制作</x:v>
      </x:c>
    </x:row>
    <x:row r="37" ht="42" customHeight="1">
      <x:c r="A37" s="35" t="str">
        <x:v>ASR-SCN-P0-012-佛前归来空间状态</x:v>
      </x:c>
      <x:c r="B37" s="35" t="str">
        <x:v>SCN</x:v>
      </x:c>
      <x:c r="C37" s="35" t="str">
        <x:v>佛前归来空间状态</x:v>
      </x:c>
      <x:c r="D37" s="35" t="str">
        <x:v>P0</x:v>
      </x:c>
      <x:c r="E37" s="35" t="str">
        <x:v>29</x:v>
      </x:c>
      <x:c r="F37" s="35" t="str">
        <x:v>镜头29</x:v>
      </x:c>
      <x:c r="G37" s="35" t="str">
        <x:v>复用佛国庭院骨架；只重做听众剪影、人物占位与光影</x:v>
      </x:c>
      <x:c r="H37" s="35" t="str">
        <x:v>复用佛国庭院骨架；只重做听众剪影、人物占位与光影；详见《资产卡索引》对应ID</x:v>
      </x:c>
      <x:c r="I37" s="35" t="str">
        <x:v>按资产卡要求生成基础态与必要关系切片</x:v>
      </x:c>
      <x:c r="J37" s="35" t="str">
        <x:v>真人写实、真实物理材质、低饱和；复用佛国庭院骨架；只重做听众剪影、人物占位与光影</x:v>
      </x:c>
      <x:c r="K37" s="35" t="str">
        <x:v>复用佛国庭院骨架；只重做听众剪影、人物占位与光影</x:v>
      </x:c>
      <x:c r="L37" s="35" t="str">
        <x:v>阶段2制作场景/地点标准资产、必要视图/状态/声音样本与验证切片</x:v>
      </x:c>
      <x:c r="M37" s="35" t="str">
        <x:v>镜头29</x:v>
      </x:c>
      <x:c r="N37" s="35" t="str">
        <x:v>剧本明确;合理推断;创作者建议</x:v>
      </x:c>
      <x:c r="O37" s="35" t="str">
        <x:v>生产策略已锁定</x:v>
      </x:c>
      <x:c r="P37" s="35" t="str">
        <x:v>进入第一批或随P0共同依赖包制作；先验证后批量</x:v>
      </x:c>
    </x:row>
    <x:row r="38" ht="42" customHeight="1">
      <x:c r="A38" s="35" t="str">
        <x:v>ASR-SCN-P2-013-流放长路</x:v>
      </x:c>
      <x:c r="B38" s="35" t="str">
        <x:v>SCN</x:v>
      </x:c>
      <x:c r="C38" s="35" t="str">
        <x:v>流放长路</x:v>
      </x:c>
      <x:c r="D38" s="35" t="str">
        <x:v>P2</x:v>
      </x:c>
      <x:c r="E38" s="35" t="str">
        <x:v>28</x:v>
      </x:c>
      <x:c r="F38" s="35" t="str">
        <x:v>镜头28</x:v>
      </x:c>
      <x:c r="G38" s="35" t="str">
        <x:v>风尘长路、低细节远景、短曝光</x:v>
      </x:c>
      <x:c r="H38" s="35" t="str">
        <x:v>风尘长路、低细节远景、短曝光；详见《资产卡索引》对应ID</x:v>
      </x:c>
      <x:c r="I38" s="35" t="str">
        <x:v>按资产卡要求生成基础态与必要关系切片</x:v>
      </x:c>
      <x:c r="J38" s="35" t="str">
        <x:v>真人写实、真实物理材质、低饱和；风尘长路、低细节远景、短曝光</x:v>
      </x:c>
      <x:c r="K38" s="35" t="str">
        <x:v>风尘长路、低细节远景、短曝光</x:v>
      </x:c>
      <x:c r="L38" s="35" t="str">
        <x:v>阶段2制作场景/地点标准资产、必要视图/状态/声音样本与验证切片</x:v>
      </x:c>
      <x:c r="M38" s="35" t="str">
        <x:v>镜头28</x:v>
      </x:c>
      <x:c r="N38" s="35" t="str">
        <x:v>剧本明确;合理推断;创作者建议</x:v>
      </x:c>
      <x:c r="O38" s="35" t="str">
        <x:v>生产策略已锁定</x:v>
      </x:c>
      <x:c r="P38" s="35" t="str">
        <x:v>主资产通过后按镜头缺口后置制作</x:v>
      </x:c>
    </x:row>
    <x:row r="39" ht="42" customHeight="1">
      <x:c r="A39" s="35" t="str">
        <x:v>ASR-LGT-P0-001-佛国山雾漫射</x:v>
      </x:c>
      <x:c r="B39" s="35" t="str">
        <x:v>LGT</x:v>
      </x:c>
      <x:c r="C39" s="35" t="str">
        <x:v>佛国山雾漫射</x:v>
      </x:c>
      <x:c r="D39" s="35" t="str">
        <x:v>P0</x:v>
      </x:c>
      <x:c r="E39" s="35" t="str">
        <x:v>02、18</x:v>
      </x:c>
      <x:c r="F39" s="35" t="str">
        <x:v>镜头02、18</x:v>
      </x:c>
      <x:c r="G39" s="35" t="str">
        <x:v>大面积柔和天空光；真实低对比</x:v>
      </x:c>
      <x:c r="H39" s="35" t="str">
        <x:v>大面积柔和天空光；真实低对比；详见《资产卡索引》对应ID</x:v>
      </x:c>
      <x:c r="I39" s="35" t="str">
        <x:v>所属场景光影变体</x:v>
      </x:c>
      <x:c r="J39" s="35" t="str">
        <x:v>真人写实、真实物理材质、低饱和；大面积柔和天空光；真实低对比</x:v>
      </x:c>
      <x:c r="K39" s="35" t="str">
        <x:v>大面积柔和天空光；真实低对比</x:v>
      </x:c>
      <x:c r="L39" s="35" t="str">
        <x:v>阶段2制作场景光影标准资产、必要视图/状态/声音样本与验证切片</x:v>
      </x:c>
      <x:c r="M39" s="35" t="str">
        <x:v>镜头02、18</x:v>
      </x:c>
      <x:c r="N39" s="35" t="str">
        <x:v>剧本明确;导演规则</x:v>
      </x:c>
      <x:c r="O39" s="35" t="str">
        <x:v>建议采用</x:v>
      </x:c>
      <x:c r="P39" s="35" t="str">
        <x:v>进入第一批或随P0共同依赖包制作；先验证后批量</x:v>
      </x:c>
    </x:row>
    <x:row r="40" ht="42" customHeight="1">
      <x:c r="A40" s="35" t="str">
        <x:v>ASR-LGT-P0-002-殿内光柱边缘</x:v>
      </x:c>
      <x:c r="B40" s="35" t="str">
        <x:v>LGT</x:v>
      </x:c>
      <x:c r="C40" s="35" t="str">
        <x:v>殿内光柱边缘</x:v>
      </x:c>
      <x:c r="D40" s="35" t="str">
        <x:v>P0</x:v>
      </x:c>
      <x:c r="E40" s="35" t="str">
        <x:v>03、06、09-10</x:v>
      </x:c>
      <x:c r="F40" s="35" t="str">
        <x:v>镜头03、06、09-10</x:v>
      </x:c>
      <x:c r="G40" s="35" t="str">
        <x:v>光柱来自殿门；女主处边缘，不使用追光</x:v>
      </x:c>
      <x:c r="H40" s="35" t="str">
        <x:v>光柱来自殿门；女主处边缘，不使用追光；详见《资产卡索引》对应ID</x:v>
      </x:c>
      <x:c r="I40" s="35" t="str">
        <x:v>所属场景光影变体</x:v>
      </x:c>
      <x:c r="J40" s="35" t="str">
        <x:v>真人写实、真实物理材质、低饱和；光柱来自殿门；女主处边缘，不使用追光</x:v>
      </x:c>
      <x:c r="K40" s="35" t="str">
        <x:v>光柱来自殿门；女主处边缘，不使用追光</x:v>
      </x:c>
      <x:c r="L40" s="35" t="str">
        <x:v>阶段2制作场景光影标准资产、必要视图/状态/声音样本与验证切片</x:v>
      </x:c>
      <x:c r="M40" s="35" t="str">
        <x:v>镜头03、06、09-10</x:v>
      </x:c>
      <x:c r="N40" s="35" t="str">
        <x:v>剧本明确;导演规则</x:v>
      </x:c>
      <x:c r="O40" s="35" t="str">
        <x:v>建议采用</x:v>
      </x:c>
      <x:c r="P40" s="35" t="str">
        <x:v>进入第一批或随P0共同依赖包制作；先验证后批量</x:v>
      </x:c>
    </x:row>
    <x:row r="41" ht="42" customHeight="1">
      <x:c r="A41" s="35" t="str">
        <x:v>ASR-LGT-P0-003-庭院树下常态漫射</x:v>
      </x:c>
      <x:c r="B41" s="35" t="str">
        <x:v>LGT</x:v>
      </x:c>
      <x:c r="C41" s="35" t="str">
        <x:v>庭院树下常态漫射</x:v>
      </x:c>
      <x:c r="D41" s="35" t="str">
        <x:v>P0</x:v>
      </x:c>
      <x:c r="E41" s="35" t="str">
        <x:v>07、11、14-16</x:v>
      </x:c>
      <x:c r="F41" s="35" t="str">
        <x:v>镜头07、11、14-16</x:v>
      </x:c>
      <x:c r="G41" s="35" t="str">
        <x:v>佛与听众共享真实环境光</x:v>
      </x:c>
      <x:c r="H41" s="35" t="str">
        <x:v>佛与听众共享真实环境光；详见《资产卡索引》对应ID</x:v>
      </x:c>
      <x:c r="I41" s="35" t="str">
        <x:v>所属场景光影变体</x:v>
      </x:c>
      <x:c r="J41" s="35" t="str">
        <x:v>真人写实、真实物理材质、低饱和；佛与听众共享真实环境光</x:v>
      </x:c>
      <x:c r="K41" s="35" t="str">
        <x:v>佛与听众共享真实环境光</x:v>
      </x:c>
      <x:c r="L41" s="35" t="str">
        <x:v>阶段2制作场景光影标准资产、必要视图/状态/声音样本与验证切片</x:v>
      </x:c>
      <x:c r="M41" s="35" t="str">
        <x:v>镜头07、11、14-16</x:v>
      </x:c>
      <x:c r="N41" s="35" t="str">
        <x:v>剧本明确;导演规则</x:v>
      </x:c>
      <x:c r="O41" s="35" t="str">
        <x:v>建议采用</x:v>
      </x:c>
      <x:c r="P41" s="35" t="str">
        <x:v>进入第一批或随P0共同依赖包制作；先验证后批量</x:v>
      </x:c>
    </x:row>
    <x:row r="42" ht="42" customHeight="1">
      <x:c r="A42" s="35" t="str">
        <x:v>ASR-LGT-P0-004-主观照见窄化光感</x:v>
      </x:c>
      <x:c r="B42" s="35" t="str">
        <x:v>LGT</x:v>
      </x:c>
      <x:c r="C42" s="35" t="str">
        <x:v>主观照见窄化光感</x:v>
      </x:c>
      <x:c r="D42" s="35" t="str">
        <x:v>P0</x:v>
      </x:c>
      <x:c r="E42" s="35" t="str">
        <x:v>08-10</x:v>
      </x:c>
      <x:c r="F42" s="35" t="str">
        <x:v>镜头08-10</x:v>
      </x:c>
      <x:c r="G42" s="35" t="str">
        <x:v>不改客观光源，只收窄主观可见空间</x:v>
      </x:c>
      <x:c r="H42" s="35" t="str">
        <x:v>不改客观光源，只收窄主观可见空间；详见《资产卡索引》对应ID</x:v>
      </x:c>
      <x:c r="I42" s="35" t="str">
        <x:v>所属场景光影变体</x:v>
      </x:c>
      <x:c r="J42" s="35" t="str">
        <x:v>真人写实、真实物理材质、低饱和；不改客观光源，只收窄主观可见空间</x:v>
      </x:c>
      <x:c r="K42" s="35" t="str">
        <x:v>不改客观光源，只收窄主观可见空间</x:v>
      </x:c>
      <x:c r="L42" s="35" t="str">
        <x:v>阶段2制作场景光影标准资产、必要视图/状态/声音样本与验证切片</x:v>
      </x:c>
      <x:c r="M42" s="35" t="str">
        <x:v>镜头08-10</x:v>
      </x:c>
      <x:c r="N42" s="35" t="str">
        <x:v>剧本明确;导演规则</x:v>
      </x:c>
      <x:c r="O42" s="35" t="str">
        <x:v>建议采用</x:v>
      </x:c>
      <x:c r="P42" s="35" t="str">
        <x:v>进入第一批或随P0共同依赖包制作；先验证后批量</x:v>
      </x:c>
    </x:row>
    <x:row r="43" ht="42" customHeight="1">
      <x:c r="A43" s="35" t="str">
        <x:v>ASR-LGT-P1-005-黑暗掌心微光</x:v>
      </x:c>
      <x:c r="B43" s="35" t="str">
        <x:v>LGT</x:v>
      </x:c>
      <x:c r="C43" s="35" t="str">
        <x:v>黑暗掌心微光</x:v>
      </x:c>
      <x:c r="D43" s="35" t="str">
        <x:v>P1</x:v>
      </x:c>
      <x:c r="E43" s="35" t="str">
        <x:v>19</x:v>
      </x:c>
      <x:c r="F43" s="35" t="str">
        <x:v>镜头19</x:v>
      </x:c>
      <x:c r="G43" s="35" t="str">
        <x:v>仅读出掌纹、念珠体积与材质</x:v>
      </x:c>
      <x:c r="H43" s="35" t="str">
        <x:v>仅读出掌纹、念珠体积与材质；详见《资产卡索引》对应ID</x:v>
      </x:c>
      <x:c r="I43" s="35" t="str">
        <x:v>所属场景光影变体</x:v>
      </x:c>
      <x:c r="J43" s="35" t="str">
        <x:v>真人写实、真实物理材质、低饱和；仅读出掌纹、念珠体积与材质</x:v>
      </x:c>
      <x:c r="K43" s="35" t="str">
        <x:v>仅读出掌纹、念珠体积与材质</x:v>
      </x:c>
      <x:c r="L43" s="35" t="str">
        <x:v>阶段2制作场景光影标准资产、必要视图/状态/声音样本与验证切片</x:v>
      </x:c>
      <x:c r="M43" s="35" t="str">
        <x:v>镜头19</x:v>
      </x:c>
      <x:c r="N43" s="35" t="str">
        <x:v>剧本明确;导演规则</x:v>
      </x:c>
      <x:c r="O43" s="35" t="str">
        <x:v>建议采用</x:v>
      </x:c>
      <x:c r="P43" s="35" t="str">
        <x:v>随对应P0资产或第二批生产包制作</x:v>
      </x:c>
    </x:row>
    <x:row r="44" ht="42" customHeight="1">
      <x:c r="A44" s="35" t="str">
        <x:v>ASR-LGT-P1-006-王府深院低饱和光</x:v>
      </x:c>
      <x:c r="B44" s="35" t="str">
        <x:v>LGT</x:v>
      </x:c>
      <x:c r="C44" s="35" t="str">
        <x:v>王府深院低饱和光</x:v>
      </x:c>
      <x:c r="D44" s="35" t="str">
        <x:v>P1</x:v>
      </x:c>
      <x:c r="E44" s="35" t="str">
        <x:v>21</x:v>
      </x:c>
      <x:c r="F44" s="35" t="str">
        <x:v>镜头21</x:v>
      </x:c>
      <x:c r="G44" s="35" t="str">
        <x:v>自然环境光；目光不表现为光束</x:v>
      </x:c>
      <x:c r="H44" s="35" t="str">
        <x:v>自然环境光；目光不表现为光束；详见《资产卡索引》对应ID</x:v>
      </x:c>
      <x:c r="I44" s="35" t="str">
        <x:v>所属场景光影变体</x:v>
      </x:c>
      <x:c r="J44" s="35" t="str">
        <x:v>真人写实、真实物理材质、低饱和；自然环境光；目光不表现为光束</x:v>
      </x:c>
      <x:c r="K44" s="35" t="str">
        <x:v>自然环境光；目光不表现为光束</x:v>
      </x:c>
      <x:c r="L44" s="35" t="str">
        <x:v>阶段2制作场景光影标准资产、必要视图/状态/声音样本与验证切片</x:v>
      </x:c>
      <x:c r="M44" s="35" t="str">
        <x:v>镜头21</x:v>
      </x:c>
      <x:c r="N44" s="35" t="str">
        <x:v>剧本明确;导演规则</x:v>
      </x:c>
      <x:c r="O44" s="35" t="str">
        <x:v>建议采用</x:v>
      </x:c>
      <x:c r="P44" s="35" t="str">
        <x:v>随对应P0资产或第二批生产包制作</x:v>
      </x:c>
    </x:row>
    <x:row r="45" ht="42" customHeight="1">
      <x:c r="A45" s="35" t="str">
        <x:v>ASR-LGT-P1-007-灯下短暂柔光</x:v>
      </x:c>
      <x:c r="B45" s="35" t="str">
        <x:v>LGT</x:v>
      </x:c>
      <x:c r="C45" s="35" t="str">
        <x:v>灯下短暂柔光</x:v>
      </x:c>
      <x:c r="D45" s="35" t="str">
        <x:v>P1</x:v>
      </x:c>
      <x:c r="E45" s="35" t="str">
        <x:v>22</x:v>
      </x:c>
      <x:c r="F45" s="35" t="str">
        <x:v>镜头22</x:v>
      </x:c>
      <x:c r="G45" s="35" t="str">
        <x:v>实景灯火短暂柔化肤质，仍低饱和</x:v>
      </x:c>
      <x:c r="H45" s="35" t="str">
        <x:v>实景灯火短暂柔化肤质，仍低饱和；详见《资产卡索引》对应ID</x:v>
      </x:c>
      <x:c r="I45" s="35" t="str">
        <x:v>所属场景光影变体</x:v>
      </x:c>
      <x:c r="J45" s="35" t="str">
        <x:v>真人写实、真实物理材质、低饱和；实景灯火短暂柔化肤质，仍低饱和</x:v>
      </x:c>
      <x:c r="K45" s="35" t="str">
        <x:v>实景灯火短暂柔化肤质，仍低饱和</x:v>
      </x:c>
      <x:c r="L45" s="35" t="str">
        <x:v>阶段2制作场景光影标准资产、必要视图/状态/声音样本与验证切片</x:v>
      </x:c>
      <x:c r="M45" s="35" t="str">
        <x:v>镜头22</x:v>
      </x:c>
      <x:c r="N45" s="35" t="str">
        <x:v>剧本明确;导演规则</x:v>
      </x:c>
      <x:c r="O45" s="35" t="str">
        <x:v>建议采用</x:v>
      </x:c>
      <x:c r="P45" s="35" t="str">
        <x:v>随对应P0资产或第二批生产包制作</x:v>
      </x:c>
    </x:row>
    <x:row r="46" ht="42" customHeight="1">
      <x:c r="A46" s="35" t="str">
        <x:v>ASR-LGT-P1-008-宫廷垂帘高位光</x:v>
      </x:c>
      <x:c r="B46" s="35" t="str">
        <x:v>LGT</x:v>
      </x:c>
      <x:c r="C46" s="35" t="str">
        <x:v>宫廷垂帘高位光</x:v>
      </x:c>
      <x:c r="D46" s="35" t="str">
        <x:v>P1</x:v>
      </x:c>
      <x:c r="E46" s="35" t="str">
        <x:v>25-26</x:v>
      </x:c>
      <x:c r="F46" s="35" t="str">
        <x:v>镜头25-26</x:v>
      </x:c>
      <x:c r="G46" s="35" t="str">
        <x:v>高位可读、群臣压暗；旧金仅作弱时代色</x:v>
      </x:c>
      <x:c r="H46" s="35" t="str">
        <x:v>高位可读、群臣压暗；旧金仅作弱时代色；详见《资产卡索引》对应ID</x:v>
      </x:c>
      <x:c r="I46" s="35" t="str">
        <x:v>所属场景光影变体</x:v>
      </x:c>
      <x:c r="J46" s="35" t="str">
        <x:v>真人写实、真实物理材质、低饱和；高位可读、群臣压暗；旧金仅作弱时代色</x:v>
      </x:c>
      <x:c r="K46" s="35" t="str">
        <x:v>高位可读、群臣压暗；旧金仅作弱时代色</x:v>
      </x:c>
      <x:c r="L46" s="35" t="str">
        <x:v>阶段2制作场景光影标准资产、必要视图/状态/声音样本与验证切片</x:v>
      </x:c>
      <x:c r="M46" s="35" t="str">
        <x:v>镜头25-26</x:v>
      </x:c>
      <x:c r="N46" s="35" t="str">
        <x:v>剧本明确;导演规则</x:v>
      </x:c>
      <x:c r="O46" s="35" t="str">
        <x:v>建议采用</x:v>
      </x:c>
      <x:c r="P46" s="35" t="str">
        <x:v>随对应P0资产或第二批生产包制作</x:v>
      </x:c>
    </x:row>
    <x:row r="47" ht="42" customHeight="1">
      <x:c r="A47" s="35" t="str">
        <x:v>ASR-LGT-P1-009-火光风雪叠化</x:v>
      </x:c>
      <x:c r="B47" s="35" t="str">
        <x:v>LGT</x:v>
      </x:c>
      <x:c r="C47" s="35" t="str">
        <x:v>火光风雪叠化</x:v>
      </x:c>
      <x:c r="D47" s="35" t="str">
        <x:v>P1</x:v>
      </x:c>
      <x:c r="E47" s="35" t="str">
        <x:v>27</x:v>
      </x:c>
      <x:c r="F47" s="35" t="str">
        <x:v>镜头27</x:v>
      </x:c>
      <x:c r="G47" s="35" t="str">
        <x:v>真实火光与蓝灰风雪短促交叠</x:v>
      </x:c>
      <x:c r="H47" s="35" t="str">
        <x:v>真实火光与蓝灰风雪短促交叠；详见《资产卡索引》对应ID</x:v>
      </x:c>
      <x:c r="I47" s="35" t="str">
        <x:v>所属场景光影变体</x:v>
      </x:c>
      <x:c r="J47" s="35" t="str">
        <x:v>真人写实、真实物理材质、低饱和；真实火光与蓝灰风雪短促交叠</x:v>
      </x:c>
      <x:c r="K47" s="35" t="str">
        <x:v>真实火光与蓝灰风雪短促交叠</x:v>
      </x:c>
      <x:c r="L47" s="35" t="str">
        <x:v>阶段2制作场景光影标准资产、必要视图/状态/声音样本与验证切片</x:v>
      </x:c>
      <x:c r="M47" s="35" t="str">
        <x:v>镜头27</x:v>
      </x:c>
      <x:c r="N47" s="35" t="str">
        <x:v>剧本明确;导演规则</x:v>
      </x:c>
      <x:c r="O47" s="35" t="str">
        <x:v>建议采用</x:v>
      </x:c>
      <x:c r="P47" s="35" t="str">
        <x:v>随对应P0资产或第二批生产包制作</x:v>
      </x:c>
    </x:row>
    <x:row r="48" ht="42" customHeight="1">
      <x:c r="A48" s="35" t="str">
        <x:v>ASR-LGT-P0-010-佛前归来剪影光</x:v>
      </x:c>
      <x:c r="B48" s="35" t="str">
        <x:v>LGT</x:v>
      </x:c>
      <x:c r="C48" s="35" t="str">
        <x:v>佛前归来剪影光</x:v>
      </x:c>
      <x:c r="D48" s="35" t="str">
        <x:v>P0</x:v>
      </x:c>
      <x:c r="E48" s="35" t="str">
        <x:v>29</x:v>
      </x:c>
      <x:c r="F48" s="35" t="str">
        <x:v>镜头29</x:v>
      </x:c>
      <x:c r="G48" s="35" t="str">
        <x:v>真实逆向环境光形成肩线和听众层次</x:v>
      </x:c>
      <x:c r="H48" s="35" t="str">
        <x:v>真实逆向环境光形成肩线和听众层次；详见《资产卡索引》对应ID</x:v>
      </x:c>
      <x:c r="I48" s="35" t="str">
        <x:v>所属场景光影变体</x:v>
      </x:c>
      <x:c r="J48" s="35" t="str">
        <x:v>真人写实、真实物理材质、低饱和；真实逆向环境光形成肩线和听众层次</x:v>
      </x:c>
      <x:c r="K48" s="35" t="str">
        <x:v>真实逆向环境光形成肩线和听众层次</x:v>
      </x:c>
      <x:c r="L48" s="35" t="str">
        <x:v>阶段2制作场景光影标准资产、必要视图/状态/声音样本与验证切片</x:v>
      </x:c>
      <x:c r="M48" s="35" t="str">
        <x:v>镜头29</x:v>
      </x:c>
      <x:c r="N48" s="35" t="str">
        <x:v>剧本明确;导演规则</x:v>
      </x:c>
      <x:c r="O48" s="35" t="str">
        <x:v>建议采用</x:v>
      </x:c>
      <x:c r="P48" s="35" t="str">
        <x:v>进入第一批或随P0共同依赖包制作；先验证后批量</x:v>
      </x:c>
    </x:row>
    <x:row r="49" ht="42" customHeight="1">
      <x:c r="A49" s="35" t="str">
        <x:v>ASR-PRP-P0-001-念珠</x:v>
      </x:c>
      <x:c r="B49" s="35" t="str">
        <x:v>PRP</x:v>
      </x:c>
      <x:c r="C49" s="35" t="str">
        <x:v>念珠</x:v>
      </x:c>
      <x:c r="D49" s="35" t="str">
        <x:v>P0</x:v>
      </x:c>
      <x:c r="E49" s="35" t="str">
        <x:v>01、03-04、13、18-19</x:v>
      </x:c>
      <x:c r="F49" s="35" t="str">
        <x:v>镜头01、03-04、13、18-19</x:v>
      </x:c>
      <x:c r="G49" s="35" t="str">
        <x:v>单珠10毫米；灰白哑光石质/菩提质感或深棕檀木；Prompt不写精确珠数</x:v>
      </x:c>
      <x:c r="H49" s="35" t="str">
        <x:v>单珠10毫米；灰白哑光石质/菩提质感或深棕檀木；Prompt不写精确珠数；详见《资产卡索引》对应ID</x:v>
      </x:c>
      <x:c r="I49" s="35" t="str">
        <x:v>按资产卡要求生成基础态与必要关系切片</x:v>
      </x:c>
      <x:c r="J49" s="35" t="str">
        <x:v>真人写实、真实物理材质、低饱和；单珠10毫米；灰白哑光石质/菩提质感或深棕檀木；Prompt不写精确珠数</x:v>
      </x:c>
      <x:c r="K49" s="35" t="str">
        <x:v>继承所属场景已确认光影；不得临时创造神光或高饱和环境</x:v>
      </x:c>
      <x:c r="L49" s="35" t="str">
        <x:v>阶段2制作道具标准资产、必要视图/状态/声音样本与验证切片</x:v>
      </x:c>
      <x:c r="M49" s="35" t="str">
        <x:v>镜头01、03-04、13、18-19</x:v>
      </x:c>
      <x:c r="N49" s="35" t="str">
        <x:v>剧本明确;合理推断</x:v>
      </x:c>
      <x:c r="O49" s="35" t="str">
        <x:v>已锁定</x:v>
      </x:c>
      <x:c r="P49" s="35" t="str">
        <x:v>进入第一批或随P0共同依赖包制作；先验证后批量</x:v>
      </x:c>
    </x:row>
    <x:row r="50" ht="42" customHeight="1">
      <x:c r="A50" s="35" t="str">
        <x:v>ASR-PRP-P1-002-真实烛火</x:v>
      </x:c>
      <x:c r="B50" s="35" t="str">
        <x:v>PRP</x:v>
      </x:c>
      <x:c r="C50" s="35" t="str">
        <x:v>真实烛火</x:v>
      </x:c>
      <x:c r="D50" s="35" t="str">
        <x:v>P1</x:v>
      </x:c>
      <x:c r="E50" s="35" t="str">
        <x:v>01</x:v>
      </x:c>
      <x:c r="F50" s="35" t="str">
        <x:v>镜头01</x:v>
      </x:c>
      <x:c r="G50" s="35" t="str">
        <x:v>单一真实灯芯火焰与一次轻爆裂；无神光</x:v>
      </x:c>
      <x:c r="H50" s="35" t="str">
        <x:v>单一真实灯芯火焰与一次轻爆裂；无神光；详见《资产卡索引》对应ID</x:v>
      </x:c>
      <x:c r="I50" s="35" t="str">
        <x:v>按资产卡要求生成基础态与必要关系切片</x:v>
      </x:c>
      <x:c r="J50" s="35" t="str">
        <x:v>真人写实、真实物理材质、低饱和；单一真实灯芯火焰与一次轻爆裂；无神光</x:v>
      </x:c>
      <x:c r="K50" s="35" t="str">
        <x:v>继承所属场景已确认光影；不得临时创造神光或高饱和环境</x:v>
      </x:c>
      <x:c r="L50" s="35" t="str">
        <x:v>阶段2制作道具标准资产、必要视图/状态/声音样本与验证切片</x:v>
      </x:c>
      <x:c r="M50" s="35" t="str">
        <x:v>镜头01</x:v>
      </x:c>
      <x:c r="N50" s="35" t="str">
        <x:v>剧本明确;合理推断</x:v>
      </x:c>
      <x:c r="O50" s="35" t="str">
        <x:v>建议采用</x:v>
      </x:c>
      <x:c r="P50" s="35" t="str">
        <x:v>随对应P0资产或第二批生产包制作</x:v>
      </x:c>
    </x:row>
    <x:row r="51" ht="42" customHeight="1">
      <x:c r="A51" s="35" t="str">
        <x:v>ASR-PRP-P0-003-青绿落叶</x:v>
      </x:c>
      <x:c r="B51" s="35" t="str">
        <x:v>PRP</x:v>
      </x:c>
      <x:c r="C51" s="35" t="str">
        <x:v>青绿落叶</x:v>
      </x:c>
      <x:c r="D51" s="35" t="str">
        <x:v>P0</x:v>
      </x:c>
      <x:c r="E51" s="35" t="str">
        <x:v>14、16-17、20、29</x:v>
      </x:c>
      <x:c r="F51" s="35" t="str">
        <x:v>镜头14、16-17、20、29</x:v>
      </x:c>
      <x:c r="G51" s="35" t="str">
        <x:v>冷灰青绿、真实叶脉、湿润感；全片唯一明确生命色</x:v>
      </x:c>
      <x:c r="H51" s="35" t="str">
        <x:v>冷灰青绿、真实叶脉、湿润感；全片唯一明确生命色；详见《资产卡索引》对应ID</x:v>
      </x:c>
      <x:c r="I51" s="35" t="str">
        <x:v>按资产卡要求生成基础态与必要关系切片</x:v>
      </x:c>
      <x:c r="J51" s="35" t="str">
        <x:v>真人写实、真实物理材质、低饱和；冷灰青绿、真实叶脉、湿润感；全片唯一明确生命色</x:v>
      </x:c>
      <x:c r="K51" s="35" t="str">
        <x:v>继承所属场景已确认光影；不得临时创造神光或高饱和环境</x:v>
      </x:c>
      <x:c r="L51" s="35" t="str">
        <x:v>阶段2制作道具标准资产、必要视图/状态/声音样本与验证切片</x:v>
      </x:c>
      <x:c r="M51" s="35" t="str">
        <x:v>镜头14、16-17、20、29</x:v>
      </x:c>
      <x:c r="N51" s="35" t="str">
        <x:v>剧本明确;合理推断</x:v>
      </x:c>
      <x:c r="O51" s="35" t="str">
        <x:v>已锁定</x:v>
      </x:c>
      <x:c r="P51" s="35" t="str">
        <x:v>进入第一批或随P0共同依赖包制作；先验证后批量</x:v>
      </x:c>
    </x:row>
    <x:row r="52" ht="42" customHeight="1">
      <x:c r="A52" s="35" t="str">
        <x:v>ASR-PRP-P1-004-发簪</x:v>
      </x:c>
      <x:c r="B52" s="35" t="str">
        <x:v>PRP</x:v>
      </x:c>
      <x:c r="C52" s="35" t="str">
        <x:v>发簪</x:v>
      </x:c>
      <x:c r="D52" s="35" t="str">
        <x:v>P1</x:v>
      </x:c>
      <x:c r="E52" s="35" t="str">
        <x:v>23-24</x:v>
      </x:c>
      <x:c r="F52" s="35" t="str">
        <x:v>镜头23-24</x:v>
      </x:c>
      <x:c r="G52" s="35" t="str">
        <x:v>克制长簪、低反光；递交和握掌形制一致</x:v>
      </x:c>
      <x:c r="H52" s="35" t="str">
        <x:v>克制长簪、低反光；递交和握掌形制一致；详见《资产卡索引》对应ID</x:v>
      </x:c>
      <x:c r="I52" s="35" t="str">
        <x:v>按资产卡要求生成基础态与必要关系切片</x:v>
      </x:c>
      <x:c r="J52" s="35" t="str">
        <x:v>真人写实、真实物理材质、低饱和；克制长簪、低反光；递交和握掌形制一致</x:v>
      </x:c>
      <x:c r="K52" s="35" t="str">
        <x:v>继承所属场景已确认光影；不得临时创造神光或高饱和环境</x:v>
      </x:c>
      <x:c r="L52" s="35" t="str">
        <x:v>阶段2制作道具标准资产、必要视图/状态/声音样本与验证切片</x:v>
      </x:c>
      <x:c r="M52" s="35" t="str">
        <x:v>镜头23-24</x:v>
      </x:c>
      <x:c r="N52" s="35" t="str">
        <x:v>剧本明确;合理推断</x:v>
      </x:c>
      <x:c r="O52" s="35" t="str">
        <x:v>建议采用</x:v>
      </x:c>
      <x:c r="P52" s="35" t="str">
        <x:v>随对应P0资产或第二批生产包制作</x:v>
      </x:c>
    </x:row>
    <x:row r="53" ht="42" customHeight="1">
      <x:c r="A53" s="35" t="str">
        <x:v>ASR-PRP-P1-005-帘幕</x:v>
      </x:c>
      <x:c r="B53" s="35" t="str">
        <x:v>PRP</x:v>
      </x:c>
      <x:c r="C53" s="35" t="str">
        <x:v>帘幕</x:v>
      </x:c>
      <x:c r="D53" s="35" t="str">
        <x:v>P1</x:v>
      </x:c>
      <x:c r="E53" s="35" t="str">
        <x:v>23、25</x:v>
      </x:c>
      <x:c r="F53" s="35" t="str">
        <x:v>镜头23、25</x:v>
      </x:c>
      <x:c r="G53" s="35" t="str">
        <x:v>真实织物重力与遮挡；不仙侠飘动</x:v>
      </x:c>
      <x:c r="H53" s="35" t="str">
        <x:v>真实织物重力与遮挡；不仙侠飘动；详见《资产卡索引》对应ID</x:v>
      </x:c>
      <x:c r="I53" s="35" t="str">
        <x:v>按资产卡要求生成基础态与必要关系切片</x:v>
      </x:c>
      <x:c r="J53" s="35" t="str">
        <x:v>真人写实、真实物理材质、低饱和；真实织物重力与遮挡；不仙侠飘动</x:v>
      </x:c>
      <x:c r="K53" s="35" t="str">
        <x:v>继承所属场景已确认光影；不得临时创造神光或高饱和环境</x:v>
      </x:c>
      <x:c r="L53" s="35" t="str">
        <x:v>阶段2制作道具标准资产、必要视图/状态/声音样本与验证切片</x:v>
      </x:c>
      <x:c r="M53" s="35" t="str">
        <x:v>镜头23、25</x:v>
      </x:c>
      <x:c r="N53" s="35" t="str">
        <x:v>剧本明确;合理推断</x:v>
      </x:c>
      <x:c r="O53" s="35" t="str">
        <x:v>建议采用</x:v>
      </x:c>
      <x:c r="P53" s="35" t="str">
        <x:v>随对应P0资产或第二批生产包制作</x:v>
      </x:c>
    </x:row>
    <x:row r="54" ht="42" customHeight="1">
      <x:c r="A54" s="35" t="str">
        <x:v>ASR-PRP-P1-006-毒酒杯</x:v>
      </x:c>
      <x:c r="B54" s="35" t="str">
        <x:v>PRP</x:v>
      </x:c>
      <x:c r="C54" s="35" t="str">
        <x:v>毒酒杯</x:v>
      </x:c>
      <x:c r="D54" s="35" t="str">
        <x:v>P1</x:v>
      </x:c>
      <x:c r="E54" s="35" t="str">
        <x:v>26</x:v>
      </x:c>
      <x:c r="F54" s="35" t="str">
        <x:v>镜头26</x:v>
      </x:c>
      <x:c r="G54" s="35" t="str">
        <x:v>可单手平推；不以异色液体提示毒性</x:v>
      </x:c>
      <x:c r="H54" s="35" t="str">
        <x:v>可单手平推；不以异色液体提示毒性；详见《资产卡索引》对应ID</x:v>
      </x:c>
      <x:c r="I54" s="35" t="str">
        <x:v>按资产卡要求生成基础态与必要关系切片</x:v>
      </x:c>
      <x:c r="J54" s="35" t="str">
        <x:v>真人写实、真实物理材质、低饱和；可单手平推；不以异色液体提示毒性</x:v>
      </x:c>
      <x:c r="K54" s="35" t="str">
        <x:v>继承所属场景已确认光影；不得临时创造神光或高饱和环境</x:v>
      </x:c>
      <x:c r="L54" s="35" t="str">
        <x:v>阶段2制作道具标准资产、必要视图/状态/声音样本与验证切片</x:v>
      </x:c>
      <x:c r="M54" s="35" t="str">
        <x:v>镜头26</x:v>
      </x:c>
      <x:c r="N54" s="35" t="str">
        <x:v>剧本明确;合理推断</x:v>
      </x:c>
      <x:c r="O54" s="35" t="str">
        <x:v>建议采用</x:v>
      </x:c>
      <x:c r="P54" s="35" t="str">
        <x:v>随对应P0资产或第二批生产包制作</x:v>
      </x:c>
    </x:row>
    <x:row r="55" ht="42" customHeight="1">
      <x:c r="A55" s="35" t="str">
        <x:v>ASR-PRP-P1-007-处置诏书</x:v>
      </x:c>
      <x:c r="B55" s="35" t="str">
        <x:v>PRP</x:v>
      </x:c>
      <x:c r="C55" s="35" t="str">
        <x:v>处置诏书</x:v>
      </x:c>
      <x:c r="D55" s="35" t="str">
        <x:v>P1</x:v>
      </x:c>
      <x:c r="E55" s="35" t="str">
        <x:v>26</x:v>
      </x:c>
      <x:c r="F55" s="35" t="str">
        <x:v>镜头26</x:v>
      </x:c>
      <x:c r="G55" s="35" t="str">
        <x:v>可落印；文字不可读；无真实姓名</x:v>
      </x:c>
      <x:c r="H55" s="35" t="str">
        <x:v>可落印；文字不可读；无真实姓名；详见《资产卡索引》对应ID</x:v>
      </x:c>
      <x:c r="I55" s="35" t="str">
        <x:v>按资产卡要求生成基础态与必要关系切片</x:v>
      </x:c>
      <x:c r="J55" s="35" t="str">
        <x:v>真人写实、真实物理材质、低饱和；可落印；文字不可读；无真实姓名</x:v>
      </x:c>
      <x:c r="K55" s="35" t="str">
        <x:v>继承所属场景已确认光影；不得临时创造神光或高饱和环境</x:v>
      </x:c>
      <x:c r="L55" s="35" t="str">
        <x:v>阶段2制作道具标准资产、必要视图/状态/声音样本与验证切片</x:v>
      </x:c>
      <x:c r="M55" s="35" t="str">
        <x:v>镜头26</x:v>
      </x:c>
      <x:c r="N55" s="35" t="str">
        <x:v>剧本明确;合理推断</x:v>
      </x:c>
      <x:c r="O55" s="35" t="str">
        <x:v>建议采用</x:v>
      </x:c>
      <x:c r="P55" s="35" t="str">
        <x:v>随对应P0资产或第二批生产包制作</x:v>
      </x:c>
    </x:row>
    <x:row r="56" ht="42" customHeight="1">
      <x:c r="A56" s="35" t="str">
        <x:v>ASR-PRP-P1-008-印章</x:v>
      </x:c>
      <x:c r="B56" s="35" t="str">
        <x:v>PRP</x:v>
      </x:c>
      <x:c r="C56" s="35" t="str">
        <x:v>印章</x:v>
      </x:c>
      <x:c r="D56" s="35" t="str">
        <x:v>P1</x:v>
      </x:c>
      <x:c r="E56" s="35" t="str">
        <x:v>26</x:v>
      </x:c>
      <x:c r="F56" s="35" t="str">
        <x:v>镜头26</x:v>
      </x:c>
      <x:c r="G56" s="35" t="str">
        <x:v>真实重量与冲击；印面虚构不可读</x:v>
      </x:c>
      <x:c r="H56" s="35" t="str">
        <x:v>真实重量与冲击；印面虚构不可读；详见《资产卡索引》对应ID</x:v>
      </x:c>
      <x:c r="I56" s="35" t="str">
        <x:v>按资产卡要求生成基础态与必要关系切片</x:v>
      </x:c>
      <x:c r="J56" s="35" t="str">
        <x:v>真人写实、真实物理材质、低饱和；真实重量与冲击；印面虚构不可读</x:v>
      </x:c>
      <x:c r="K56" s="35" t="str">
        <x:v>继承所属场景已确认光影；不得临时创造神光或高饱和环境</x:v>
      </x:c>
      <x:c r="L56" s="35" t="str">
        <x:v>阶段2制作道具标准资产、必要视图/状态/声音样本与验证切片</x:v>
      </x:c>
      <x:c r="M56" s="35" t="str">
        <x:v>镜头26</x:v>
      </x:c>
      <x:c r="N56" s="35" t="str">
        <x:v>剧本明确;合理推断</x:v>
      </x:c>
      <x:c r="O56" s="35" t="str">
        <x:v>建议采用</x:v>
      </x:c>
      <x:c r="P56" s="35" t="str">
        <x:v>随对应P0资产或第二批生产包制作</x:v>
      </x:c>
    </x:row>
    <x:row r="57" ht="42" customHeight="1">
      <x:c r="A57" s="35" t="str">
        <x:v>ASR-PRP-P1-009-白绫</x:v>
      </x:c>
      <x:c r="B57" s="35" t="str">
        <x:v>PRP</x:v>
      </x:c>
      <x:c r="C57" s="35" t="str">
        <x:v>白绫</x:v>
      </x:c>
      <x:c r="D57" s="35" t="str">
        <x:v>P1</x:v>
      </x:c>
      <x:c r="E57" s="35" t="str">
        <x:v>28</x:v>
      </x:c>
      <x:c r="F57" s="35" t="str">
        <x:v>镜头28</x:v>
      </x:c>
      <x:c r="G57" s="35" t="str">
        <x:v>真实织物重力与下垂；不展示伤害</x:v>
      </x:c>
      <x:c r="H57" s="35" t="str">
        <x:v>真实织物重力与下垂；不展示伤害；详见《资产卡索引》对应ID</x:v>
      </x:c>
      <x:c r="I57" s="35" t="str">
        <x:v>按资产卡要求生成基础态与必要关系切片</x:v>
      </x:c>
      <x:c r="J57" s="35" t="str">
        <x:v>真人写实、真实物理材质、低饱和；真实织物重力与下垂；不展示伤害</x:v>
      </x:c>
      <x:c r="K57" s="35" t="str">
        <x:v>继承所属场景已确认光影；不得临时创造神光或高饱和环境</x:v>
      </x:c>
      <x:c r="L57" s="35" t="str">
        <x:v>阶段2制作道具标准资产、必要视图/状态/声音样本与验证切片</x:v>
      </x:c>
      <x:c r="M57" s="35" t="str">
        <x:v>镜头28</x:v>
      </x:c>
      <x:c r="N57" s="35" t="str">
        <x:v>剧本明确;合理推断</x:v>
      </x:c>
      <x:c r="O57" s="35" t="str">
        <x:v>建议采用</x:v>
      </x:c>
      <x:c r="P57" s="35" t="str">
        <x:v>随对应P0资产或第二批生产包制作</x:v>
      </x:c>
    </x:row>
    <x:row r="58" ht="42" customHeight="1">
      <x:c r="A58" s="35" t="str">
        <x:v>ASR-PRP-P2-010-刀锋</x:v>
      </x:c>
      <x:c r="B58" s="35" t="str">
        <x:v>PRP</x:v>
      </x:c>
      <x:c r="C58" s="35" t="str">
        <x:v>刀锋</x:v>
      </x:c>
      <x:c r="D58" s="35" t="str">
        <x:v>P2</x:v>
      </x:c>
      <x:c r="E58" s="35" t="str">
        <x:v>28</x:v>
      </x:c>
      <x:c r="F58" s="35" t="str">
        <x:v>镜头28</x:v>
      </x:c>
      <x:c r="G58" s="35" t="str">
        <x:v>冷硬局部反光；不见伤口</x:v>
      </x:c>
      <x:c r="H58" s="35" t="str">
        <x:v>冷硬局部反光；不见伤口；详见《资产卡索引》对应ID</x:v>
      </x:c>
      <x:c r="I58" s="35" t="str">
        <x:v>按资产卡要求生成基础态与必要关系切片</x:v>
      </x:c>
      <x:c r="J58" s="35" t="str">
        <x:v>真人写实、真实物理材质、低饱和；冷硬局部反光；不见伤口</x:v>
      </x:c>
      <x:c r="K58" s="35" t="str">
        <x:v>继承所属场景已确认光影；不得临时创造神光或高饱和环境</x:v>
      </x:c>
      <x:c r="L58" s="35" t="str">
        <x:v>阶段2制作道具标准资产、必要视图/状态/声音样本与验证切片</x:v>
      </x:c>
      <x:c r="M58" s="35" t="str">
        <x:v>镜头28</x:v>
      </x:c>
      <x:c r="N58" s="35" t="str">
        <x:v>剧本明确;合理推断</x:v>
      </x:c>
      <x:c r="O58" s="35" t="str">
        <x:v>建议采用</x:v>
      </x:c>
      <x:c r="P58" s="35" t="str">
        <x:v>主资产通过后按镜头缺口后置制作</x:v>
      </x:c>
    </x:row>
    <x:row r="59" ht="42" customHeight="1">
      <x:c r="A59" s="35" t="str">
        <x:v>ASR-VFX-P0-001-主观生理真实目光</x:v>
      </x:c>
      <x:c r="B59" s="35" t="str">
        <x:v>VFX</x:v>
      </x:c>
      <x:c r="C59" s="35" t="str">
        <x:v>主观生理真实目光</x:v>
      </x:c>
      <x:c r="D59" s="35" t="str">
        <x:v>P0</x:v>
      </x:c>
      <x:c r="E59" s="35" t="str">
        <x:v>08</x:v>
      </x:c>
      <x:c r="F59" s="35" t="str">
        <x:v>镜头08</x:v>
      </x:c>
      <x:c r="G59" s="35" t="str">
        <x:v>真实眼睛、极安静、无暧昧；女主主观感受</x:v>
      </x:c>
      <x:c r="H59" s="35" t="str">
        <x:v>真实眼睛、极安静、无暧昧；女主主观感受；详见《资产卡索引》对应ID</x:v>
      </x:c>
      <x:c r="I59" s="35" t="str">
        <x:v>按资产卡要求生成基础态与必要关系切片</x:v>
      </x:c>
      <x:c r="J59" s="35" t="str">
        <x:v>真人写实、真实物理材质、低饱和；真实眼睛、极安静、无暧昧；女主主观感受</x:v>
      </x:c>
      <x:c r="K59" s="35" t="str">
        <x:v>真实眼睛、极安静、无暧昧；女主主观感受</x:v>
      </x:c>
      <x:c r="L59" s="35" t="str">
        <x:v>阶段2制作VFX/环境现象标准资产、必要视图/状态/声音样本与验证切片</x:v>
      </x:c>
      <x:c r="M59" s="35" t="str">
        <x:v>镜头08</x:v>
      </x:c>
      <x:c r="N59" s="35" t="str">
        <x:v>剧本明确;项目锁定;导演规则</x:v>
      </x:c>
      <x:c r="O59" s="35" t="str">
        <x:v>建议采用</x:v>
      </x:c>
      <x:c r="P59" s="35" t="str">
        <x:v>进入第一批或随P0共同依赖包制作；先验证后批量</x:v>
      </x:c>
    </x:row>
    <x:row r="60" ht="42" customHeight="1">
      <x:c r="A60" s="35" t="str">
        <x:v>ASR-VFX-P0-002-群体失焦我之诞生</x:v>
      </x:c>
      <x:c r="B60" s="35" t="str">
        <x:v>VFX</x:v>
      </x:c>
      <x:c r="C60" s="35" t="str">
        <x:v>群体失焦我之诞生</x:v>
      </x:c>
      <x:c r="D60" s="35" t="str">
        <x:v>P0</x:v>
      </x:c>
      <x:c r="E60" s="35" t="str">
        <x:v>10-12</x:v>
      </x:c>
      <x:c r="F60" s="35" t="str">
        <x:v>镜头10-12</x:v>
      </x:c>
      <x:c r="G60" s="35" t="str">
        <x:v>女主清晰、群体逐步失焦并可恢复</x:v>
      </x:c>
      <x:c r="H60" s="35" t="str">
        <x:v>女主清晰、群体逐步失焦并可恢复；详见《资产卡索引》对应ID</x:v>
      </x:c>
      <x:c r="I60" s="35" t="str">
        <x:v>按资产卡要求生成基础态与必要关系切片</x:v>
      </x:c>
      <x:c r="J60" s="35" t="str">
        <x:v>真人写实、真实物理材质、低饱和；女主清晰、群体逐步失焦并可恢复</x:v>
      </x:c>
      <x:c r="K60" s="35" t="str">
        <x:v>女主清晰、群体逐步失焦并可恢复</x:v>
      </x:c>
      <x:c r="L60" s="35" t="str">
        <x:v>阶段2制作VFX/环境现象标准资产、必要视图/状态/声音样本与验证切片</x:v>
      </x:c>
      <x:c r="M60" s="35" t="str">
        <x:v>镜头10-12</x:v>
      </x:c>
      <x:c r="N60" s="35" t="str">
        <x:v>剧本明确;项目锁定;导演规则</x:v>
      </x:c>
      <x:c r="O60" s="35" t="str">
        <x:v>建议采用</x:v>
      </x:c>
      <x:c r="P60" s="35" t="str">
        <x:v>进入第一批或随P0共同依赖包制作；先验证后批量</x:v>
      </x:c>
    </x:row>
    <x:row r="61" ht="42" customHeight="1">
      <x:c r="A61" s="35" t="str">
        <x:v>ASR-VFX-P0-003-青绿落叶慢速下沉</x:v>
      </x:c>
      <x:c r="B61" s="35" t="str">
        <x:v>VFX</x:v>
      </x:c>
      <x:c r="C61" s="35" t="str">
        <x:v>青绿落叶慢速下沉</x:v>
      </x:c>
      <x:c r="D61" s="35" t="str">
        <x:v>P0</x:v>
      </x:c>
      <x:c r="E61" s="35" t="str">
        <x:v>16</x:v>
      </x:c>
      <x:c r="F61" s="35" t="str">
        <x:v>镜头16</x:v>
      </x:c>
      <x:c r="G61" s="35" t="str">
        <x:v>只改变高度，无发光与旋转炫技</x:v>
      </x:c>
      <x:c r="H61" s="35" t="str">
        <x:v>只改变高度，无发光与旋转炫技；详见《资产卡索引》对应ID</x:v>
      </x:c>
      <x:c r="I61" s="35" t="str">
        <x:v>按资产卡要求生成基础态与必要关系切片</x:v>
      </x:c>
      <x:c r="J61" s="35" t="str">
        <x:v>真人写实、真实物理材质、低饱和；只改变高度，无发光与旋转炫技</x:v>
      </x:c>
      <x:c r="K61" s="35" t="str">
        <x:v>只改变高度，无发光与旋转炫技</x:v>
      </x:c>
      <x:c r="L61" s="35" t="str">
        <x:v>阶段2制作VFX/环境现象标准资产、必要视图/状态/声音样本与验证切片</x:v>
      </x:c>
      <x:c r="M61" s="35" t="str">
        <x:v>镜头16</x:v>
      </x:c>
      <x:c r="N61" s="35" t="str">
        <x:v>剧本明确;项目锁定;导演规则</x:v>
      </x:c>
      <x:c r="O61" s="35" t="str">
        <x:v>建议采用</x:v>
      </x:c>
      <x:c r="P61" s="35" t="str">
        <x:v>进入第一批或随P0共同依赖包制作；先验证后批量</x:v>
      </x:c>
    </x:row>
    <x:row r="62" ht="42" customHeight="1">
      <x:c r="A62" s="35" t="str">
        <x:v>ASR-VFX-P0-004-心远空间层退</x:v>
      </x:c>
      <x:c r="B62" s="35" t="str">
        <x:v>VFX</x:v>
      </x:c>
      <x:c r="C62" s="35" t="str">
        <x:v>心远空间层退</x:v>
      </x:c>
      <x:c r="D62" s="35" t="str">
        <x:v>P0</x:v>
      </x:c>
      <x:c r="E62" s="35" t="str">
        <x:v>18</x:v>
      </x:c>
      <x:c r="F62" s="35" t="str">
        <x:v>镜头18</x:v>
      </x:c>
      <x:c r="G62" s="35" t="str">
        <x:v>女主不缩小不坠落；空间逐层远离褪色</x:v>
      </x:c>
      <x:c r="H62" s="35" t="str">
        <x:v>女主不缩小不坠落；空间逐层远离褪色；详见《资产卡索引》对应ID</x:v>
      </x:c>
      <x:c r="I62" s="35" t="str">
        <x:v>按资产卡要求生成基础态与必要关系切片</x:v>
      </x:c>
      <x:c r="J62" s="35" t="str">
        <x:v>真人写实、真实物理材质、低饱和；女主不缩小不坠落；空间逐层远离褪色</x:v>
      </x:c>
      <x:c r="K62" s="35" t="str">
        <x:v>女主不缩小不坠落；空间逐层远离褪色</x:v>
      </x:c>
      <x:c r="L62" s="35" t="str">
        <x:v>阶段2制作VFX/环境现象标准资产、必要视图/状态/声音样本与验证切片</x:v>
      </x:c>
      <x:c r="M62" s="35" t="str">
        <x:v>镜头18</x:v>
      </x:c>
      <x:c r="N62" s="35" t="str">
        <x:v>剧本明确;项目锁定;导演规则</x:v>
      </x:c>
      <x:c r="O62" s="35" t="str">
        <x:v>建议采用</x:v>
      </x:c>
      <x:c r="P62" s="35" t="str">
        <x:v>进入第一批或随P0共同依赖包制作；先验证后批量</x:v>
      </x:c>
    </x:row>
    <x:row r="63" ht="42" customHeight="1">
      <x:c r="A63" s="35" t="str">
        <x:v>ASR-VFX-P1-005-片名落叶影转手</x:v>
      </x:c>
      <x:c r="B63" s="35" t="str">
        <x:v>VFX</x:v>
      </x:c>
      <x:c r="C63" s="35" t="str">
        <x:v>片名落叶影转手</x:v>
      </x:c>
      <x:c r="D63" s="35" t="str">
        <x:v>P1</x:v>
      </x:c>
      <x:c r="E63" s="35" t="str">
        <x:v>20-21</x:v>
      </x:c>
      <x:c r="F63" s="35" t="str">
        <x:v>镜头20-21</x:v>
      </x:c>
      <x:c r="G63" s="35" t="str">
        <x:v>叶影下沉并连续接入人间伸手</x:v>
      </x:c>
      <x:c r="H63" s="35" t="str">
        <x:v>叶影下沉并连续接入人间伸手；详见《资产卡索引》对应ID</x:v>
      </x:c>
      <x:c r="I63" s="35" t="str">
        <x:v>按资产卡要求生成基础态与必要关系切片</x:v>
      </x:c>
      <x:c r="J63" s="35" t="str">
        <x:v>真人写实、真实物理材质、低饱和；叶影下沉并连续接入人间伸手</x:v>
      </x:c>
      <x:c r="K63" s="35" t="str">
        <x:v>叶影下沉并连续接入人间伸手</x:v>
      </x:c>
      <x:c r="L63" s="35" t="str">
        <x:v>阶段2制作VFX/环境现象标准资产、必要视图/状态/声音样本与验证切片</x:v>
      </x:c>
      <x:c r="M63" s="35" t="str">
        <x:v>镜头20-21</x:v>
      </x:c>
      <x:c r="N63" s="35" t="str">
        <x:v>剧本明确;项目锁定;导演规则</x:v>
      </x:c>
      <x:c r="O63" s="35" t="str">
        <x:v>建议采用</x:v>
      </x:c>
      <x:c r="P63" s="35" t="str">
        <x:v>随对应P0资产或第二批生产包制作</x:v>
      </x:c>
    </x:row>
    <x:row r="64" ht="42" customHeight="1">
      <x:c r="A64" s="35" t="str">
        <x:v>ASR-VFX-P1-006-掌纹暗血色一闪</x:v>
      </x:c>
      <x:c r="B64" s="35" t="str">
        <x:v>VFX</x:v>
      </x:c>
      <x:c r="C64" s="35" t="str">
        <x:v>掌纹暗血色一闪</x:v>
      </x:c>
      <x:c r="D64" s="35" t="str">
        <x:v>P1</x:v>
      </x:c>
      <x:c r="E64" s="35" t="str">
        <x:v>24</x:v>
      </x:c>
      <x:c r="F64" s="35" t="str">
        <x:v>镜头24</x:v>
      </x:c>
      <x:c r="G64" s="35" t="str">
        <x:v>极暗低饱和红仅在掌纹一闪</x:v>
      </x:c>
      <x:c r="H64" s="35" t="str">
        <x:v>极暗低饱和红仅在掌纹一闪；详见《资产卡索引》对应ID</x:v>
      </x:c>
      <x:c r="I64" s="35" t="str">
        <x:v>按资产卡要求生成基础态与必要关系切片</x:v>
      </x:c>
      <x:c r="J64" s="35" t="str">
        <x:v>真人写实、真实物理材质、低饱和；极暗低饱和红仅在掌纹一闪</x:v>
      </x:c>
      <x:c r="K64" s="35" t="str">
        <x:v>极暗低饱和红仅在掌纹一闪</x:v>
      </x:c>
      <x:c r="L64" s="35" t="str">
        <x:v>阶段2制作VFX/环境现象标准资产、必要视图/状态/声音样本与验证切片</x:v>
      </x:c>
      <x:c r="M64" s="35" t="str">
        <x:v>镜头24</x:v>
      </x:c>
      <x:c r="N64" s="35" t="str">
        <x:v>剧本明确;项目锁定;导演规则</x:v>
      </x:c>
      <x:c r="O64" s="35" t="str">
        <x:v>建议采用</x:v>
      </x:c>
      <x:c r="P64" s="35" t="str">
        <x:v>随对应P0资产或第二批生产包制作</x:v>
      </x:c>
    </x:row>
    <x:row r="65" ht="42" customHeight="1">
      <x:c r="A65" s="35" t="str">
        <x:v>ASR-VFX-P1-007-火光风雪空床叠化</x:v>
      </x:c>
      <x:c r="B65" s="35" t="str">
        <x:v>VFX</x:v>
      </x:c>
      <x:c r="C65" s="35" t="str">
        <x:v>火光风雪空床叠化</x:v>
      </x:c>
      <x:c r="D65" s="35" t="str">
        <x:v>P1</x:v>
      </x:c>
      <x:c r="E65" s="35" t="str">
        <x:v>27</x:v>
      </x:c>
      <x:c r="F65" s="35" t="str">
        <x:v>镜头27</x:v>
      </x:c>
      <x:c r="G65" s="35" t="str">
        <x:v>三种后果短促叠化，人物边缘稳定</x:v>
      </x:c>
      <x:c r="H65" s="35" t="str">
        <x:v>三种后果短促叠化，人物边缘稳定；详见《资产卡索引》对应ID</x:v>
      </x:c>
      <x:c r="I65" s="35" t="str">
        <x:v>按资产卡要求生成基础态与必要关系切片</x:v>
      </x:c>
      <x:c r="J65" s="35" t="str">
        <x:v>真人写实、真实物理材质、低饱和；三种后果短促叠化，人物边缘稳定</x:v>
      </x:c>
      <x:c r="K65" s="35" t="str">
        <x:v>三种后果短促叠化，人物边缘稳定</x:v>
      </x:c>
      <x:c r="L65" s="35" t="str">
        <x:v>阶段2制作VFX/环境现象标准资产、必要视图/状态/声音样本与验证切片</x:v>
      </x:c>
      <x:c r="M65" s="35" t="str">
        <x:v>镜头27</x:v>
      </x:c>
      <x:c r="N65" s="35" t="str">
        <x:v>剧本明确;项目锁定;导演规则</x:v>
      </x:c>
      <x:c r="O65" s="35" t="str">
        <x:v>建议采用</x:v>
      </x:c>
      <x:c r="P65" s="35" t="str">
        <x:v>随对应P0资产或第二批生产包制作</x:v>
      </x:c>
    </x:row>
    <x:row r="66" ht="42" customHeight="1">
      <x:c r="A66" s="35" t="str">
        <x:v>ASR-VFX-P1-008-多世死亡叠闪</x:v>
      </x:c>
      <x:c r="B66" s="35" t="str">
        <x:v>VFX</x:v>
      </x:c>
      <x:c r="C66" s="35" t="str">
        <x:v>多世死亡叠闪</x:v>
      </x:c>
      <x:c r="D66" s="35" t="str">
        <x:v>P1</x:v>
      </x:c>
      <x:c r="E66" s="35" t="str">
        <x:v>28</x:v>
      </x:c>
      <x:c r="F66" s="35" t="str">
        <x:v>镜头28</x:v>
      </x:c>
      <x:c r="G66" s="35" t="str">
        <x:v>白绫、流放、刀锋、千夫所指连续闪过</x:v>
      </x:c>
      <x:c r="H66" s="35" t="str">
        <x:v>白绫、流放、刀锋、千夫所指连续闪过；详见《资产卡索引》对应ID</x:v>
      </x:c>
      <x:c r="I66" s="35" t="str">
        <x:v>按资产卡要求生成基础态与必要关系切片</x:v>
      </x:c>
      <x:c r="J66" s="35" t="str">
        <x:v>真人写实、真实物理材质、低饱和；白绫、流放、刀锋、千夫所指连续闪过</x:v>
      </x:c>
      <x:c r="K66" s="35" t="str">
        <x:v>白绫、流放、刀锋、千夫所指连续闪过</x:v>
      </x:c>
      <x:c r="L66" s="35" t="str">
        <x:v>阶段2制作VFX/环境现象标准资产、必要视图/状态/声音样本与验证切片</x:v>
      </x:c>
      <x:c r="M66" s="35" t="str">
        <x:v>镜头28</x:v>
      </x:c>
      <x:c r="N66" s="35" t="str">
        <x:v>剧本明确;项目锁定;导演规则</x:v>
      </x:c>
      <x:c r="O66" s="35" t="str">
        <x:v>建议采用</x:v>
      </x:c>
      <x:c r="P66" s="35" t="str">
        <x:v>随对应P0资产或第二批生产包制作</x:v>
      </x:c>
    </x:row>
    <x:row r="67" ht="42" customHeight="1">
      <x:c r="A67" s="35" t="str">
        <x:v>ASR-VFX-P0-009-轮回动作匹配切系统</x:v>
      </x:c>
      <x:c r="B67" s="35" t="str">
        <x:v>VFX</x:v>
      </x:c>
      <x:c r="C67" s="35" t="str">
        <x:v>轮回动作匹配切系统</x:v>
      </x:c>
      <x:c r="D67" s="35" t="str">
        <x:v>P0</x:v>
      </x:c>
      <x:c r="E67" s="35" t="str">
        <x:v>20-29</x:v>
      </x:c>
      <x:c r="F67" s="35" t="str">
        <x:v>镜头20-29</x:v>
      </x:c>
      <x:c r="G67" s="35" t="str">
        <x:v>手、发簪、掌心、酒杯、印章、落叶方向一致</x:v>
      </x:c>
      <x:c r="H67" s="35" t="str">
        <x:v>手、发簪、掌心、酒杯、印章、落叶方向一致；详见《资产卡索引》对应ID</x:v>
      </x:c>
      <x:c r="I67" s="35" t="str">
        <x:v>按资产卡要求生成基础态与必要关系切片</x:v>
      </x:c>
      <x:c r="J67" s="35" t="str">
        <x:v>真人写实、真实物理材质、低饱和；手、发簪、掌心、酒杯、印章、落叶方向一致</x:v>
      </x:c>
      <x:c r="K67" s="35" t="str">
        <x:v>手、发簪、掌心、酒杯、印章、落叶方向一致</x:v>
      </x:c>
      <x:c r="L67" s="35" t="str">
        <x:v>阶段2制作VFX/环境现象标准资产、必要视图/状态/声音样本与验证切片</x:v>
      </x:c>
      <x:c r="M67" s="35" t="str">
        <x:v>镜头20-29</x:v>
      </x:c>
      <x:c r="N67" s="35" t="str">
        <x:v>剧本明确;项目锁定;导演规则</x:v>
      </x:c>
      <x:c r="O67" s="35" t="str">
        <x:v>建议采用</x:v>
      </x:c>
      <x:c r="P67" s="35" t="str">
        <x:v>进入第一批或随P0共同依赖包制作；先验证后批量</x:v>
      </x:c>
    </x:row>
    <x:row r="68" ht="42" customHeight="1">
      <x:c r="A68" s="35" t="str">
        <x:v>ASR-VFX-P2-010-黑中烛火渐显</x:v>
      </x:c>
      <x:c r="B68" s="35" t="str">
        <x:v>VFX</x:v>
      </x:c>
      <x:c r="C68" s="35" t="str">
        <x:v>黑中烛火渐显</x:v>
      </x:c>
      <x:c r="D68" s="35" t="str">
        <x:v>P2</x:v>
      </x:c>
      <x:c r="E68" s="35" t="str">
        <x:v>01</x:v>
      </x:c>
      <x:c r="F68" s="35" t="str">
        <x:v>镜头01</x:v>
      </x:c>
      <x:c r="G68" s="35" t="str">
        <x:v>纯黑后真实烛火缓慢显出，无粒子光晕</x:v>
      </x:c>
      <x:c r="H68" s="35" t="str">
        <x:v>纯黑后真实烛火缓慢显出，无粒子光晕；详见《资产卡索引》对应ID</x:v>
      </x:c>
      <x:c r="I68" s="35" t="str">
        <x:v>按资产卡要求生成基础态与必要关系切片</x:v>
      </x:c>
      <x:c r="J68" s="35" t="str">
        <x:v>真人写实、真实物理材质、低饱和；纯黑后真实烛火缓慢显出，无粒子光晕</x:v>
      </x:c>
      <x:c r="K68" s="35" t="str">
        <x:v>纯黑后真实烛火缓慢显出，无粒子光晕</x:v>
      </x:c>
      <x:c r="L68" s="35" t="str">
        <x:v>阶段2制作VFX/环境现象标准资产、必要视图/状态/声音样本与验证切片</x:v>
      </x:c>
      <x:c r="M68" s="35" t="str">
        <x:v>镜头01</x:v>
      </x:c>
      <x:c r="N68" s="35" t="str">
        <x:v>剧本明确;项目锁定;导演规则</x:v>
      </x:c>
      <x:c r="O68" s="35" t="str">
        <x:v>建议采用</x:v>
      </x:c>
      <x:c r="P68" s="35" t="str">
        <x:v>主资产通过后按镜头缺口后置制作</x:v>
      </x:c>
    </x:row>
    <x:row r="69" ht="42" customHeight="1">
      <x:c r="A69" s="35" t="str">
        <x:v>ASR-CRO-P0-001-比丘尼群像</x:v>
      </x:c>
      <x:c r="B69" s="35" t="str">
        <x:v>CRO</x:v>
      </x:c>
      <x:c r="C69" s="35" t="str">
        <x:v>比丘尼群像</x:v>
      </x:c>
      <x:c r="D69" s="35" t="str">
        <x:v>P0</x:v>
      </x:c>
      <x:c r="E69" s="35" t="str">
        <x:v>03、10、12-13、15</x:v>
      </x:c>
      <x:c r="F69" s="35" t="str">
        <x:v>镜头03、10、12-13、15</x:v>
      </x:c>
      <x:c r="G69" s="35" t="str">
        <x:v>统一坐姿与拨珠节律；个体差异避免同脸</x:v>
      </x:c>
      <x:c r="H69" s="35" t="str">
        <x:v>统一坐姿与拨珠节律；个体差异避免同脸；详见《资产卡索引》对应ID</x:v>
      </x:c>
      <x:c r="I69" s="35" t="str">
        <x:v>按资产卡要求生成基础态与必要关系切片</x:v>
      </x:c>
      <x:c r="J69" s="35" t="str">
        <x:v>真人写实、真实物理材质、低饱和；统一坐姿与拨珠节律；个体差异避免同脸</x:v>
      </x:c>
      <x:c r="K69" s="35" t="str">
        <x:v>继承所属场景已确认光影；不得临时创造神光或高饱和环境</x:v>
      </x:c>
      <x:c r="L69" s="35" t="str">
        <x:v>阶段2制作群演配置标准资产、必要视图/状态/声音样本与验证切片</x:v>
      </x:c>
      <x:c r="M69" s="35" t="str">
        <x:v>镜头03、10、12-13、15</x:v>
      </x:c>
      <x:c r="N69" s="35" t="str">
        <x:v>剧本明确;创作者建议</x:v>
      </x:c>
      <x:c r="O69" s="35" t="str">
        <x:v>建议采用</x:v>
      </x:c>
      <x:c r="P69" s="35" t="str">
        <x:v>进入第一批或随P0共同依赖包制作；先验证后批量</x:v>
      </x:c>
    </x:row>
    <x:row r="70" ht="42" customHeight="1">
      <x:c r="A70" s="35" t="str">
        <x:v>ASR-CRO-P1-002-树下讲经听众</x:v>
      </x:c>
      <x:c r="B70" s="35" t="str">
        <x:v>CRO</x:v>
      </x:c>
      <x:c r="C70" s="35" t="str">
        <x:v>树下讲经听众</x:v>
      </x:c>
      <x:c r="D70" s="35" t="str">
        <x:v>P1</x:v>
      </x:c>
      <x:c r="E70" s="35" t="str">
        <x:v>07、11、15</x:v>
      </x:c>
      <x:c r="F70" s="35" t="str">
        <x:v>镜头07、11、15</x:v>
      </x:c>
      <x:c r="G70" s="35" t="str">
        <x:v>朝向统一、代表个体不同；建立讲经秩序</x:v>
      </x:c>
      <x:c r="H70" s="35" t="str">
        <x:v>朝向统一、代表个体不同；建立讲经秩序；详见《资产卡索引》对应ID</x:v>
      </x:c>
      <x:c r="I70" s="35" t="str">
        <x:v>按资产卡要求生成基础态与必要关系切片</x:v>
      </x:c>
      <x:c r="J70" s="35" t="str">
        <x:v>真人写实、真实物理材质、低饱和；朝向统一、代表个体不同；建立讲经秩序</x:v>
      </x:c>
      <x:c r="K70" s="35" t="str">
        <x:v>继承所属场景已确认光影；不得临时创造神光或高饱和环境</x:v>
      </x:c>
      <x:c r="L70" s="35" t="str">
        <x:v>阶段2制作群演配置标准资产、必要视图/状态/声音样本与验证切片</x:v>
      </x:c>
      <x:c r="M70" s="35" t="str">
        <x:v>镜头07、11、15</x:v>
      </x:c>
      <x:c r="N70" s="35" t="str">
        <x:v>剧本明确;创作者建议</x:v>
      </x:c>
      <x:c r="O70" s="35" t="str">
        <x:v>建议采用</x:v>
      </x:c>
      <x:c r="P70" s="35" t="str">
        <x:v>随对应P0资产或第二批生产包制作</x:v>
      </x:c>
    </x:row>
    <x:row r="71" ht="42" customHeight="1">
      <x:c r="A71" s="35" t="str">
        <x:v>ASR-CRO-P2-003-王府边缘人群</x:v>
      </x:c>
      <x:c r="B71" s="35" t="str">
        <x:v>CRO</x:v>
      </x:c>
      <x:c r="C71" s="35" t="str">
        <x:v>王府边缘人群</x:v>
      </x:c>
      <x:c r="D71" s="35" t="str">
        <x:v>P2</x:v>
      </x:c>
      <x:c r="E71" s="35" t="str">
        <x:v>21</x:v>
      </x:c>
      <x:c r="F71" s="35" t="str">
        <x:v>镜头21</x:v>
      </x:c>
      <x:c r="G71" s="35" t="str">
        <x:v>不可辨背景人群；女主站边缘</x:v>
      </x:c>
      <x:c r="H71" s="35" t="str">
        <x:v>不可辨背景人群；女主站边缘；详见《资产卡索引》对应ID</x:v>
      </x:c>
      <x:c r="I71" s="35" t="str">
        <x:v>按资产卡要求生成基础态与必要关系切片</x:v>
      </x:c>
      <x:c r="J71" s="35" t="str">
        <x:v>真人写实、真实物理材质、低饱和；不可辨背景人群；女主站边缘</x:v>
      </x:c>
      <x:c r="K71" s="35" t="str">
        <x:v>继承所属场景已确认光影；不得临时创造神光或高饱和环境</x:v>
      </x:c>
      <x:c r="L71" s="35" t="str">
        <x:v>阶段2制作群演配置标准资产、必要视图/状态/声音样本与验证切片</x:v>
      </x:c>
      <x:c r="M71" s="35" t="str">
        <x:v>镜头21</x:v>
      </x:c>
      <x:c r="N71" s="35" t="str">
        <x:v>剧本明确;创作者建议</x:v>
      </x:c>
      <x:c r="O71" s="35" t="str">
        <x:v>建议采用</x:v>
      </x:c>
      <x:c r="P71" s="35" t="str">
        <x:v>主资产通过后按镜头缺口后置制作</x:v>
      </x:c>
    </x:row>
    <x:row r="72" ht="42" customHeight="1">
      <x:c r="A72" s="35" t="str">
        <x:v>ASR-CRO-P1-004-宫廷俯首群臣</x:v>
      </x:c>
      <x:c r="B72" s="35" t="str">
        <x:v>CRO</x:v>
      </x:c>
      <x:c r="C72" s="35" t="str">
        <x:v>宫廷俯首群臣</x:v>
      </x:c>
      <x:c r="D72" s="35" t="str">
        <x:v>P1</x:v>
      </x:c>
      <x:c r="E72" s="35" t="str">
        <x:v>25</x:v>
      </x:c>
      <x:c r="F72" s="35" t="str">
        <x:v>镜头25</x:v>
      </x:c>
      <x:c r="G72" s="35" t="str">
        <x:v>前景代表、重复纵深与衣袍声建立万人感</x:v>
      </x:c>
      <x:c r="H72" s="35" t="str">
        <x:v>前景代表、重复纵深与衣袍声建立万人感；详见《资产卡索引》对应ID</x:v>
      </x:c>
      <x:c r="I72" s="35" t="str">
        <x:v>按资产卡要求生成基础态与必要关系切片</x:v>
      </x:c>
      <x:c r="J72" s="35" t="str">
        <x:v>真人写实、真实物理材质、低饱和；前景代表、重复纵深与衣袍声建立万人感</x:v>
      </x:c>
      <x:c r="K72" s="35" t="str">
        <x:v>继承所属场景已确认光影；不得临时创造神光或高饱和环境</x:v>
      </x:c>
      <x:c r="L72" s="35" t="str">
        <x:v>阶段2制作群演配置标准资产、必要视图/状态/声音样本与验证切片</x:v>
      </x:c>
      <x:c r="M72" s="35" t="str">
        <x:v>镜头25</x:v>
      </x:c>
      <x:c r="N72" s="35" t="str">
        <x:v>剧本明确;创作者建议</x:v>
      </x:c>
      <x:c r="O72" s="35" t="str">
        <x:v>建议采用</x:v>
      </x:c>
      <x:c r="P72" s="35" t="str">
        <x:v>随对应P0资产或第二批生产包制作</x:v>
      </x:c>
    </x:row>
    <x:row r="73" ht="42" customHeight="1">
      <x:c r="A73" s="35" t="str">
        <x:v>ASR-CRO-P1-005-五百罗汉剪影规模</x:v>
      </x:c>
      <x:c r="B73" s="35" t="str">
        <x:v>CRO</x:v>
      </x:c>
      <x:c r="C73" s="35" t="str">
        <x:v>五百罗汉剪影规模</x:v>
      </x:c>
      <x:c r="D73" s="35" t="str">
        <x:v>P1</x:v>
      </x:c>
      <x:c r="E73" s="35" t="str">
        <x:v>29</x:v>
      </x:c>
      <x:c r="F73" s="35" t="str">
        <x:v>镜头29</x:v>
      </x:c>
      <x:c r="G73" s="35" t="str">
        <x:v>不逐一实体化；剪影、肩线、朝向和低诵建立规模</x:v>
      </x:c>
      <x:c r="H73" s="35" t="str">
        <x:v>不逐一实体化；剪影、肩线、朝向和低诵建立规模；详见《资产卡索引》对应ID</x:v>
      </x:c>
      <x:c r="I73" s="35" t="str">
        <x:v>按资产卡要求生成基础态与必要关系切片</x:v>
      </x:c>
      <x:c r="J73" s="35" t="str">
        <x:v>真人写实、真实物理材质、低饱和；不逐一实体化；剪影、肩线、朝向和低诵建立规模</x:v>
      </x:c>
      <x:c r="K73" s="35" t="str">
        <x:v>继承所属场景已确认光影；不得临时创造神光或高饱和环境</x:v>
      </x:c>
      <x:c r="L73" s="35" t="str">
        <x:v>阶段2制作群演配置标准资产、必要视图/状态/声音样本与验证切片</x:v>
      </x:c>
      <x:c r="M73" s="35" t="str">
        <x:v>镜头29</x:v>
      </x:c>
      <x:c r="N73" s="35" t="str">
        <x:v>剧本明确;创作者建议</x:v>
      </x:c>
      <x:c r="O73" s="35" t="str">
        <x:v>建议采用</x:v>
      </x:c>
      <x:c r="P73" s="35" t="str">
        <x:v>随对应P0资产或第二批生产包制作</x:v>
      </x:c>
    </x:row>
    <x:row r="74" ht="42" customHeight="1">
      <x:c r="A74" s="35" t="str">
        <x:v>ASR-CRO-P2-006-千夫所指人群</x:v>
      </x:c>
      <x:c r="B74" s="35" t="str">
        <x:v>CRO</x:v>
      </x:c>
      <x:c r="C74" s="35" t="str">
        <x:v>千夫所指人群</x:v>
      </x:c>
      <x:c r="D74" s="35" t="str">
        <x:v>P2</x:v>
      </x:c>
      <x:c r="E74" s="35" t="str">
        <x:v>28</x:v>
      </x:c>
      <x:c r="F74" s="35" t="str">
        <x:v>镜头28</x:v>
      </x:c>
      <x:c r="G74" s="35" t="str">
        <x:v>手势和压力方向清楚；不抢女主身份</x:v>
      </x:c>
      <x:c r="H74" s="35" t="str">
        <x:v>手势和压力方向清楚；不抢女主身份；详见《资产卡索引》对应ID</x:v>
      </x:c>
      <x:c r="I74" s="35" t="str">
        <x:v>按资产卡要求生成基础态与必要关系切片</x:v>
      </x:c>
      <x:c r="J74" s="35" t="str">
        <x:v>真人写实、真实物理材质、低饱和；手势和压力方向清楚；不抢女主身份</x:v>
      </x:c>
      <x:c r="K74" s="35" t="str">
        <x:v>继承所属场景已确认光影；不得临时创造神光或高饱和环境</x:v>
      </x:c>
      <x:c r="L74" s="35" t="str">
        <x:v>阶段2制作群演配置标准资产、必要视图/状态/声音样本与验证切片</x:v>
      </x:c>
      <x:c r="M74" s="35" t="str">
        <x:v>镜头28</x:v>
      </x:c>
      <x:c r="N74" s="35" t="str">
        <x:v>剧本明确;创作者建议</x:v>
      </x:c>
      <x:c r="O74" s="35" t="str">
        <x:v>建议采用</x:v>
      </x:c>
      <x:c r="P74" s="35" t="str">
        <x:v>主资产通过后按镜头缺口后置制作</x:v>
      </x:c>
    </x:row>
    <x:row r="75" ht="42" customHeight="1">
      <x:c r="A75" s="35" t="str">
        <x:v>ASR-SYM-P0-001-阿修罗片名卡</x:v>
      </x:c>
      <x:c r="B75" s="35" t="str">
        <x:v>SYM</x:v>
      </x:c>
      <x:c r="C75" s="35" t="str">
        <x:v>阿修罗片名卡</x:v>
      </x:c>
      <x:c r="D75" s="35" t="str">
        <x:v>P0</x:v>
      </x:c>
      <x:c r="E75" s="35" t="str">
        <x:v>20</x:v>
      </x:c>
      <x:c r="F75" s="35" t="str">
        <x:v>镜头20</x:v>
      </x:c>
      <x:c r="G75" s="35" t="str">
        <x:v>近黑深灰底、灰白枯笔字；不描金不发光</x:v>
      </x:c>
      <x:c r="H75" s="35" t="str">
        <x:v>近黑深灰底、灰白枯笔字；不描金不发光；详见《资产卡索引》对应ID</x:v>
      </x:c>
      <x:c r="I75" s="35" t="str">
        <x:v>按资产卡要求生成基础态与必要关系切片</x:v>
      </x:c>
      <x:c r="J75" s="35" t="str">
        <x:v>真人写实、真实物理材质、低饱和；近黑深灰底、灰白枯笔字；不描金不发光</x:v>
      </x:c>
      <x:c r="K75" s="35" t="str">
        <x:v>继承所属场景已确认光影；不得临时创造神光或高饱和环境</x:v>
      </x:c>
      <x:c r="L75" s="35" t="str">
        <x:v>阶段2制作图案/文字标准资产、必要视图/状态/声音样本与验证切片</x:v>
      </x:c>
      <x:c r="M75" s="35" t="str">
        <x:v>镜头20</x:v>
      </x:c>
      <x:c r="N75" s="35" t="str">
        <x:v>剧本明确;项目锁定</x:v>
      </x:c>
      <x:c r="O75" s="35" t="str">
        <x:v>建议采用</x:v>
      </x:c>
      <x:c r="P75" s="35" t="str">
        <x:v>进入第一批或随P0共同依赖包制作；先验证后批量</x:v>
      </x:c>
    </x:row>
    <x:row r="76" ht="42" customHeight="1">
      <x:c r="A76" s="35" t="str">
        <x:v>ASR-SYM-P1-002-诏书与印面不可读文字规范</x:v>
      </x:c>
      <x:c r="B76" s="35" t="str">
        <x:v>SYM</x:v>
      </x:c>
      <x:c r="C76" s="35" t="str">
        <x:v>诏书与印面不可读文字规范</x:v>
      </x:c>
      <x:c r="D76" s="35" t="str">
        <x:v>P1</x:v>
      </x:c>
      <x:c r="E76" s="35" t="str">
        <x:v>26</x:v>
      </x:c>
      <x:c r="F76" s="35" t="str">
        <x:v>镜头26</x:v>
      </x:c>
      <x:c r="G76" s="35" t="str">
        <x:v>虚构笔画与印面；不可辨具体字与政权</x:v>
      </x:c>
      <x:c r="H76" s="35" t="str">
        <x:v>虚构笔画与印面；不可辨具体字与政权；详见《资产卡索引》对应ID</x:v>
      </x:c>
      <x:c r="I76" s="35" t="str">
        <x:v>按资产卡要求生成基础态与必要关系切片</x:v>
      </x:c>
      <x:c r="J76" s="35" t="str">
        <x:v>真人写实、真实物理材质、低饱和；虚构笔画与印面；不可辨具体字与政权</x:v>
      </x:c>
      <x:c r="K76" s="35" t="str">
        <x:v>继承所属场景已确认光影；不得临时创造神光或高饱和环境</x:v>
      </x:c>
      <x:c r="L76" s="35" t="str">
        <x:v>阶段2制作图案/文字标准资产、必要视图/状态/声音样本与验证切片</x:v>
      </x:c>
      <x:c r="M76" s="35" t="str">
        <x:v>镜头26</x:v>
      </x:c>
      <x:c r="N76" s="35" t="str">
        <x:v>剧本明确;项目锁定</x:v>
      </x:c>
      <x:c r="O76" s="35" t="str">
        <x:v>建议采用</x:v>
      </x:c>
      <x:c r="P76" s="35" t="str">
        <x:v>随对应P0资产或第二批生产包制作</x:v>
      </x:c>
    </x:row>
    <x:row r="77" ht="42" customHeight="1">
      <x:c r="A77" s="35" t="str">
        <x:v>ASR-SND-P0-001-念珠秩序节律</x:v>
      </x:c>
      <x:c r="B77" s="35" t="str">
        <x:v>SND</x:v>
      </x:c>
      <x:c r="C77" s="35" t="str">
        <x:v>念珠秩序节律</x:v>
      </x:c>
      <x:c r="D77" s="35" t="str">
        <x:v>P0</x:v>
      </x:c>
      <x:c r="E77" s="35" t="str">
        <x:v>01、03-04、13、18-19</x:v>
      </x:c>
      <x:c r="F77" s="35" t="str">
        <x:v>镜头01、03-04、13、18-19</x:v>
      </x:c>
      <x:c r="G77" s="35" t="str">
        <x:v>干燥真实珠声；支持规律、缺拍、逆拨和闷响</x:v>
      </x:c>
      <x:c r="H77" s="35" t="str">
        <x:v>干燥真实珠声；支持规律、缺拍、逆拨和闷响；详见《资产卡索引》对应ID</x:v>
      </x:c>
      <x:c r="I77" s="35" t="str">
        <x:v>按镜头距离、强度和节律生成可调用变体</x:v>
      </x:c>
      <x:c r="J77" s="35" t="str">
        <x:v>干燥真实珠声；支持规律、缺拍、逆拨和闷响</x:v>
      </x:c>
      <x:c r="K77" s="35" t="str">
        <x:v>继承所属场景已确认光影；不得临时创造神光或高饱和环境</x:v>
      </x:c>
      <x:c r="L77" s="35" t="str">
        <x:v>阶段2制作声音母题标准资产、必要视图/状态/声音样本与验证切片</x:v>
      </x:c>
      <x:c r="M77" s="35" t="str">
        <x:v>镜头01、03-04、13、18-19</x:v>
      </x:c>
      <x:c r="N77" s="35" t="str">
        <x:v>剧本明确;项目锁定;声音导演建议</x:v>
      </x:c>
      <x:c r="O77" s="35" t="str">
        <x:v>建议采用</x:v>
      </x:c>
      <x:c r="P77" s="35" t="str">
        <x:v>进入第一批或随P0共同依赖包制作；先验证后批量</x:v>
      </x:c>
    </x:row>
    <x:row r="78" ht="42" customHeight="1">
      <x:c r="A78" s="35" t="str">
        <x:v>ASR-SND-P0-002-木鱼节律</x:v>
      </x:c>
      <x:c r="B78" s="35" t="str">
        <x:v>SND</x:v>
      </x:c>
      <x:c r="C78" s="35" t="str">
        <x:v>木鱼节律</x:v>
      </x:c>
      <x:c r="D78" s="35" t="str">
        <x:v>P0</x:v>
      </x:c>
      <x:c r="E78" s="35" t="str">
        <x:v>03、11、14-15、25</x:v>
      </x:c>
      <x:c r="F78" s="35" t="str">
        <x:v>镜头03、11、14-15、25</x:v>
      </x:c>
      <x:c r="G78" s="35" t="str">
        <x:v>稳定修行节拍；可少一拍和中断半拍</x:v>
      </x:c>
      <x:c r="H78" s="35" t="str">
        <x:v>稳定修行节拍；可少一拍和中断半拍；详见《资产卡索引》对应ID</x:v>
      </x:c>
      <x:c r="I78" s="35" t="str">
        <x:v>按镜头距离、强度和节律生成可调用变体</x:v>
      </x:c>
      <x:c r="J78" s="35" t="str">
        <x:v>稳定修行节拍；可少一拍和中断半拍</x:v>
      </x:c>
      <x:c r="K78" s="35" t="str">
        <x:v>继承所属场景已确认光影；不得临时创造神光或高饱和环境</x:v>
      </x:c>
      <x:c r="L78" s="35" t="str">
        <x:v>阶段2制作声音母题标准资产、必要视图/状态/声音样本与验证切片</x:v>
      </x:c>
      <x:c r="M78" s="35" t="str">
        <x:v>镜头03、11、14-15、25</x:v>
      </x:c>
      <x:c r="N78" s="35" t="str">
        <x:v>剧本明确;项目锁定;声音导演建议</x:v>
      </x:c>
      <x:c r="O78" s="35" t="str">
        <x:v>建议采用</x:v>
      </x:c>
      <x:c r="P78" s="35" t="str">
        <x:v>进入第一批或随P0共同依赖包制作；先验证后批量</x:v>
      </x:c>
    </x:row>
    <x:row r="79" ht="42" customHeight="1">
      <x:c r="A79" s="35" t="str">
        <x:v>ASR-SND-P0-003-梵呗秩序</x:v>
      </x:c>
      <x:c r="B79" s="35" t="str">
        <x:v>SND</x:v>
      </x:c>
      <x:c r="C79" s="35" t="str">
        <x:v>梵呗秩序</x:v>
      </x:c>
      <x:c r="D79" s="35" t="str">
        <x:v>P0</x:v>
      </x:c>
      <x:c r="E79" s="35" t="str">
        <x:v>03、08、15、18</x:v>
      </x:c>
      <x:c r="F79" s="35" t="str">
        <x:v>镜头03、08、15、18</x:v>
      </x:c>
      <x:c r="G79" s="35" t="str">
        <x:v>场内群体低诵；可变薄、拉远、恢复</x:v>
      </x:c>
      <x:c r="H79" s="35" t="str">
        <x:v>场内群体低诵；可变薄、拉远、恢复；详见《资产卡索引》对应ID</x:v>
      </x:c>
      <x:c r="I79" s="35" t="str">
        <x:v>按镜头距离、强度和节律生成可调用变体</x:v>
      </x:c>
      <x:c r="J79" s="35" t="str">
        <x:v>场内群体低诵；可变薄、拉远、恢复</x:v>
      </x:c>
      <x:c r="K79" s="35" t="str">
        <x:v>继承所属场景已确认光影；不得临时创造神光或高饱和环境</x:v>
      </x:c>
      <x:c r="L79" s="35" t="str">
        <x:v>阶段2制作声音母题标准资产、必要视图/状态/声音样本与验证切片</x:v>
      </x:c>
      <x:c r="M79" s="35" t="str">
        <x:v>镜头03、08、15、18</x:v>
      </x:c>
      <x:c r="N79" s="35" t="str">
        <x:v>剧本明确;项目锁定;声音导演建议</x:v>
      </x:c>
      <x:c r="O79" s="35" t="str">
        <x:v>建议采用</x:v>
      </x:c>
      <x:c r="P79" s="35" t="str">
        <x:v>进入第一批或随P0共同依赖包制作；先验证后批量</x:v>
      </x:c>
    </x:row>
    <x:row r="80" ht="42" customHeight="1">
      <x:c r="A80" s="35" t="str">
        <x:v>ASR-SND-P1-004-远磬</x:v>
      </x:c>
      <x:c r="B80" s="35" t="str">
        <x:v>SND</x:v>
      </x:c>
      <x:c r="C80" s="35" t="str">
        <x:v>远磬</x:v>
      </x:c>
      <x:c r="D80" s="35" t="str">
        <x:v>P1</x:v>
      </x:c>
      <x:c r="E80" s="35" t="str">
        <x:v>06、20</x:v>
      </x:c>
      <x:c r="F80" s="35" t="str">
        <x:v>镜头06、20</x:v>
      </x:c>
      <x:c r="G80" s="35" t="str">
        <x:v>一次真实磬声；尾音可被心跳切断</x:v>
      </x:c>
      <x:c r="H80" s="35" t="str">
        <x:v>一次真实磬声；尾音可被心跳切断；详见《资产卡索引》对应ID</x:v>
      </x:c>
      <x:c r="I80" s="35" t="str">
        <x:v>按镜头距离、强度和节律生成可调用变体</x:v>
      </x:c>
      <x:c r="J80" s="35" t="str">
        <x:v>一次真实磬声；尾音可被心跳切断</x:v>
      </x:c>
      <x:c r="K80" s="35" t="str">
        <x:v>继承所属场景已确认光影；不得临时创造神光或高饱和环境</x:v>
      </x:c>
      <x:c r="L80" s="35" t="str">
        <x:v>阶段2制作声音母题标准资产、必要视图/状态/声音样本与验证切片</x:v>
      </x:c>
      <x:c r="M80" s="35" t="str">
        <x:v>镜头06、20</x:v>
      </x:c>
      <x:c r="N80" s="35" t="str">
        <x:v>剧本明确;项目锁定;声音导演建议</x:v>
      </x:c>
      <x:c r="O80" s="35" t="str">
        <x:v>建议采用</x:v>
      </x:c>
      <x:c r="P80" s="35" t="str">
        <x:v>随对应P0资产或第二批生产包制作</x:v>
      </x:c>
    </x:row>
    <x:row r="81" ht="42" customHeight="1">
      <x:c r="A81" s="35" t="str">
        <x:v>ASR-SND-P1-005-佛国松涛风声</x:v>
      </x:c>
      <x:c r="B81" s="35" t="str">
        <x:v>SND</x:v>
      </x:c>
      <x:c r="C81" s="35" t="str">
        <x:v>佛国松涛风声</x:v>
      </x:c>
      <x:c r="D81" s="35" t="str">
        <x:v>P1</x:v>
      </x:c>
      <x:c r="E81" s="35" t="str">
        <x:v>02</x:v>
      </x:c>
      <x:c r="F81" s="35" t="str">
        <x:v>镜头02</x:v>
      </x:c>
      <x:c r="G81" s="35" t="str">
        <x:v>远淡真实；不做仙境风铃</x:v>
      </x:c>
      <x:c r="H81" s="35" t="str">
        <x:v>远淡真实；不做仙境风铃；详见《资产卡索引》对应ID</x:v>
      </x:c>
      <x:c r="I81" s="35" t="str">
        <x:v>按镜头距离、强度和节律生成可调用变体</x:v>
      </x:c>
      <x:c r="J81" s="35" t="str">
        <x:v>远淡真实；不做仙境风铃</x:v>
      </x:c>
      <x:c r="K81" s="35" t="str">
        <x:v>继承所属场景已确认光影；不得临时创造神光或高饱和环境</x:v>
      </x:c>
      <x:c r="L81" s="35" t="str">
        <x:v>阶段2制作声音母题标准资产、必要视图/状态/声音样本与验证切片</x:v>
      </x:c>
      <x:c r="M81" s="35" t="str">
        <x:v>镜头02</x:v>
      </x:c>
      <x:c r="N81" s="35" t="str">
        <x:v>剧本明确;项目锁定;声音导演建议</x:v>
      </x:c>
      <x:c r="O81" s="35" t="str">
        <x:v>建议采用</x:v>
      </x:c>
      <x:c r="P81" s="35" t="str">
        <x:v>随对应P0资产或第二批生产包制作</x:v>
      </x:c>
    </x:row>
    <x:row r="82" ht="42" customHeight="1">
      <x:c r="A82" s="35" t="str">
        <x:v>ASR-SND-P0-006-呼吸母题</x:v>
      </x:c>
      <x:c r="B82" s="35" t="str">
        <x:v>SND</x:v>
      </x:c>
      <x:c r="C82" s="35" t="str">
        <x:v>呼吸母题</x:v>
      </x:c>
      <x:c r="D82" s="35" t="str">
        <x:v>P0</x:v>
      </x:c>
      <x:c r="E82" s="35" t="str">
        <x:v>05、08-09、12、17、22、27</x:v>
      </x:c>
      <x:c r="F82" s="35" t="str">
        <x:v>镜头05、08-09、12、17、22、27</x:v>
      </x:c>
      <x:c r="G82" s="35" t="str">
        <x:v>对齐、慢半拍、贴耳三个状态可区分</x:v>
      </x:c>
      <x:c r="H82" s="35" t="str">
        <x:v>对齐、慢半拍、贴耳三个状态可区分；详见《资产卡索引》对应ID</x:v>
      </x:c>
      <x:c r="I82" s="35" t="str">
        <x:v>按镜头距离、强度和节律生成可调用变体</x:v>
      </x:c>
      <x:c r="J82" s="35" t="str">
        <x:v>对齐、慢半拍、贴耳三个状态可区分</x:v>
      </x:c>
      <x:c r="K82" s="35" t="str">
        <x:v>继承所属场景已确认光影；不得临时创造神光或高饱和环境</x:v>
      </x:c>
      <x:c r="L82" s="35" t="str">
        <x:v>阶段2制作声音母题标准资产、必要视图/状态/声音样本与验证切片</x:v>
      </x:c>
      <x:c r="M82" s="35" t="str">
        <x:v>镜头05、08-09、12、17、22、27</x:v>
      </x:c>
      <x:c r="N82" s="35" t="str">
        <x:v>剧本明确;项目锁定;声音导演建议</x:v>
      </x:c>
      <x:c r="O82" s="35" t="str">
        <x:v>建议采用</x:v>
      </x:c>
      <x:c r="P82" s="35" t="str">
        <x:v>进入第一批或随P0共同依赖包制作；先验证后批量</x:v>
      </x:c>
    </x:row>
    <x:row r="83" ht="42" customHeight="1">
      <x:c r="A83" s="35" t="str">
        <x:v>ASR-SND-P1-007-水滴深井</x:v>
      </x:c>
      <x:c r="B83" s="35" t="str">
        <x:v>SND</x:v>
      </x:c>
      <x:c r="C83" s="35" t="str">
        <x:v>水滴深井</x:v>
      </x:c>
      <x:c r="D83" s="35" t="str">
        <x:v>P1</x:v>
      </x:c>
      <x:c r="E83" s="35" t="str">
        <x:v>12、16</x:v>
      </x:c>
      <x:c r="F83" s="35" t="str">
        <x:v>镜头12、16</x:v>
      </x:c>
      <x:c r="G83" s="35" t="str">
        <x:v>单滴、纵深长，扩散后回归寂静</x:v>
      </x:c>
      <x:c r="H83" s="35" t="str">
        <x:v>单滴、纵深长，扩散后回归寂静；详见《资产卡索引》对应ID</x:v>
      </x:c>
      <x:c r="I83" s="35" t="str">
        <x:v>按镜头距离、强度和节律生成可调用变体</x:v>
      </x:c>
      <x:c r="J83" s="35" t="str">
        <x:v>单滴、纵深长，扩散后回归寂静</x:v>
      </x:c>
      <x:c r="K83" s="35" t="str">
        <x:v>继承所属场景已确认光影；不得临时创造神光或高饱和环境</x:v>
      </x:c>
      <x:c r="L83" s="35" t="str">
        <x:v>阶段2制作声音母题标准资产、必要视图/状态/声音样本与验证切片</x:v>
      </x:c>
      <x:c r="M83" s="35" t="str">
        <x:v>镜头12、16</x:v>
      </x:c>
      <x:c r="N83" s="35" t="str">
        <x:v>剧本明确;项目锁定;声音导演建议</x:v>
      </x:c>
      <x:c r="O83" s="35" t="str">
        <x:v>建议采用</x:v>
      </x:c>
      <x:c r="P83" s="35" t="str">
        <x:v>随对应P0资产或第二批生产包制作</x:v>
      </x:c>
    </x:row>
    <x:row r="84" ht="42" customHeight="1">
      <x:c r="A84" s="35" t="str">
        <x:v>ASR-SND-P0-008-声音中断与少一拍</x:v>
      </x:c>
      <x:c r="B84" s="35" t="str">
        <x:v>SND</x:v>
      </x:c>
      <x:c r="C84" s="35" t="str">
        <x:v>声音中断与少一拍</x:v>
      </x:c>
      <x:c r="D84" s="35" t="str">
        <x:v>P0</x:v>
      </x:c>
      <x:c r="E84" s="35" t="str">
        <x:v>01、13-15、29</x:v>
      </x:c>
      <x:c r="F84" s="35" t="str">
        <x:v>镜头01、13-15、29</x:v>
      </x:c>
      <x:c r="G84" s="35" t="str">
        <x:v>秩序裂缝；不依赖持续低频</x:v>
      </x:c>
      <x:c r="H84" s="35" t="str">
        <x:v>秩序裂缝；不依赖持续低频；详见《资产卡索引》对应ID</x:v>
      </x:c>
      <x:c r="I84" s="35" t="str">
        <x:v>按镜头距离、强度和节律生成可调用变体</x:v>
      </x:c>
      <x:c r="J84" s="35" t="str">
        <x:v>秩序裂缝；不依赖持续低频</x:v>
      </x:c>
      <x:c r="K84" s="35" t="str">
        <x:v>继承所属场景已确认光影；不得临时创造神光或高饱和环境</x:v>
      </x:c>
      <x:c r="L84" s="35" t="str">
        <x:v>阶段2制作声音母题标准资产、必要视图/状态/声音样本与验证切片</x:v>
      </x:c>
      <x:c r="M84" s="35" t="str">
        <x:v>镜头01、13-15、29</x:v>
      </x:c>
      <x:c r="N84" s="35" t="str">
        <x:v>剧本明确;项目锁定;声音导演建议</x:v>
      </x:c>
      <x:c r="O84" s="35" t="str">
        <x:v>建议采用</x:v>
      </x:c>
      <x:c r="P84" s="35" t="str">
        <x:v>进入第一批或随P0共同依赖包制作；先验证后批量</x:v>
      </x:c>
    </x:row>
    <x:row r="85" ht="42" customHeight="1">
      <x:c r="A85" s="35" t="str">
        <x:v>ASR-SND-P0-009-人间心跳</x:v>
      </x:c>
      <x:c r="B85" s="35" t="str">
        <x:v>SND</x:v>
      </x:c>
      <x:c r="C85" s="35" t="str">
        <x:v>人间心跳</x:v>
      </x:c>
      <x:c r="D85" s="35" t="str">
        <x:v>P0</x:v>
      </x:c>
      <x:c r="E85" s="35" t="str">
        <x:v>20-29</x:v>
      </x:c>
      <x:c r="F85" s="35" t="str">
        <x:v>镜头20-29</x:v>
      </x:c>
      <x:c r="G85" s="35" t="str">
        <x:v>片名后首次清晰，轮回段加速但不持续轰鸣</x:v>
      </x:c>
      <x:c r="H85" s="35" t="str">
        <x:v>片名后首次清晰，轮回段加速但不持续轰鸣；详见《资产卡索引》对应ID</x:v>
      </x:c>
      <x:c r="I85" s="35" t="str">
        <x:v>按镜头距离、强度和节律生成可调用变体</x:v>
      </x:c>
      <x:c r="J85" s="35" t="str">
        <x:v>片名后首次清晰，轮回段加速但不持续轰鸣</x:v>
      </x:c>
      <x:c r="K85" s="35" t="str">
        <x:v>继承所属场景已确认光影；不得临时创造神光或高饱和环境</x:v>
      </x:c>
      <x:c r="L85" s="35" t="str">
        <x:v>阶段2制作声音母题标准资产、必要视图/状态/声音样本与验证切片</x:v>
      </x:c>
      <x:c r="M85" s="35" t="str">
        <x:v>镜头20-29</x:v>
      </x:c>
      <x:c r="N85" s="35" t="str">
        <x:v>剧本明确;项目锁定;声音导演建议</x:v>
      </x:c>
      <x:c r="O85" s="35" t="str">
        <x:v>建议采用</x:v>
      </x:c>
      <x:c r="P85" s="35" t="str">
        <x:v>进入第一批或随P0共同依赖包制作；先验证后批量</x:v>
      </x:c>
    </x:row>
    <x:row r="86" ht="42" customHeight="1">
      <x:c r="A86" s="35" t="str">
        <x:v>ASR-SND-P1-010-衣料摩擦</x:v>
      </x:c>
      <x:c r="B86" s="35" t="str">
        <x:v>SND</x:v>
      </x:c>
      <x:c r="C86" s="35" t="str">
        <x:v>衣料摩擦</x:v>
      </x:c>
      <x:c r="D86" s="35" t="str">
        <x:v>P1</x:v>
      </x:c>
      <x:c r="E86" s="35" t="str">
        <x:v>17、21、25</x:v>
      </x:c>
      <x:c r="F86" s="35" t="str">
        <x:v>镜头17、21、25</x:v>
      </x:c>
      <x:c r="G86" s="35" t="str">
        <x:v>握紧与群臣伏地所需的真实织物声</x:v>
      </x:c>
      <x:c r="H86" s="35" t="str">
        <x:v>握紧与群臣伏地所需的真实织物声；详见《资产卡索引》对应ID</x:v>
      </x:c>
      <x:c r="I86" s="35" t="str">
        <x:v>按镜头距离、强度和节律生成可调用变体</x:v>
      </x:c>
      <x:c r="J86" s="35" t="str">
        <x:v>握紧与群臣伏地所需的真实织物声</x:v>
      </x:c>
      <x:c r="K86" s="35" t="str">
        <x:v>继承所属场景已确认光影；不得临时创造神光或高饱和环境</x:v>
      </x:c>
      <x:c r="L86" s="35" t="str">
        <x:v>阶段2制作声音母题标准资产、必要视图/状态/声音样本与验证切片</x:v>
      </x:c>
      <x:c r="M86" s="35" t="str">
        <x:v>镜头17、21、25</x:v>
      </x:c>
      <x:c r="N86" s="35" t="str">
        <x:v>剧本明确;项目锁定;声音导演建议</x:v>
      </x:c>
      <x:c r="O86" s="35" t="str">
        <x:v>建议采用</x:v>
      </x:c>
      <x:c r="P86" s="35" t="str">
        <x:v>随对应P0资产或第二批生产包制作</x:v>
      </x:c>
    </x:row>
    <x:row r="87" ht="42" customHeight="1">
      <x:c r="A87" s="35" t="str">
        <x:v>ASR-SND-P1-011-弦乐完整句与断弦</x:v>
      </x:c>
      <x:c r="B87" s="35" t="str">
        <x:v>SND</x:v>
      </x:c>
      <x:c r="C87" s="35" t="str">
        <x:v>弦乐完整句与断弦</x:v>
      </x:c>
      <x:c r="D87" s="35" t="str">
        <x:v>P1</x:v>
      </x:c>
      <x:c r="E87" s="35" t="str">
        <x:v>22、24</x:v>
      </x:c>
      <x:c r="F87" s="35" t="str">
        <x:v>镜头22、24</x:v>
      </x:c>
      <x:c r="G87" s="35" t="str">
        <x:v>镜头22锁定场内同期琴声；镜头24断弦；不是配乐</x:v>
      </x:c>
      <x:c r="H87" s="35" t="str">
        <x:v>镜头22锁定场内同期琴声；镜头24断弦；不是配乐；详见《资产卡索引》对应ID</x:v>
      </x:c>
      <x:c r="I87" s="35" t="str">
        <x:v>按镜头距离、强度和节律生成可调用变体</x:v>
      </x:c>
      <x:c r="J87" s="35" t="str">
        <x:v>镜头22锁定场内同期琴声；镜头24断弦；不是配乐</x:v>
      </x:c>
      <x:c r="K87" s="35" t="str">
        <x:v>继承所属场景已确认光影；不得临时创造神光或高饱和环境</x:v>
      </x:c>
      <x:c r="L87" s="35" t="str">
        <x:v>阶段2制作声音母题标准资产、必要视图/状态/声音样本与验证切片</x:v>
      </x:c>
      <x:c r="M87" s="35" t="str">
        <x:v>镜头22、24</x:v>
      </x:c>
      <x:c r="N87" s="35" t="str">
        <x:v>剧本明确;项目锁定;声音导演建议</x:v>
      </x:c>
      <x:c r="O87" s="35" t="str">
        <x:v>建议采用</x:v>
      </x:c>
      <x:c r="P87" s="35" t="str">
        <x:v>随对应P0资产或第二批生产包制作</x:v>
      </x:c>
    </x:row>
    <x:row r="88" ht="42" customHeight="1">
      <x:c r="A88" s="35" t="str">
        <x:v>ASR-SND-P1-012-印章酒杯撞击</x:v>
      </x:c>
      <x:c r="B88" s="35" t="str">
        <x:v>SND</x:v>
      </x:c>
      <x:c r="C88" s="35" t="str">
        <x:v>印章酒杯撞击</x:v>
      </x:c>
      <x:c r="D88" s="35" t="str">
        <x:v>P1</x:v>
      </x:c>
      <x:c r="E88" s="35" t="str">
        <x:v>26</x:v>
      </x:c>
      <x:c r="F88" s="35" t="str">
        <x:v>镜头26</x:v>
      </x:c>
      <x:c r="G88" s="35" t="str">
        <x:v>落印与杯触案叠成一次重击</x:v>
      </x:c>
      <x:c r="H88" s="35" t="str">
        <x:v>落印与杯触案叠成一次重击；详见《资产卡索引》对应ID</x:v>
      </x:c>
      <x:c r="I88" s="35" t="str">
        <x:v>按镜头距离、强度和节律生成可调用变体</x:v>
      </x:c>
      <x:c r="J88" s="35" t="str">
        <x:v>落印与杯触案叠成一次重击</x:v>
      </x:c>
      <x:c r="K88" s="35" t="str">
        <x:v>继承所属场景已确认光影；不得临时创造神光或高饱和环境</x:v>
      </x:c>
      <x:c r="L88" s="35" t="str">
        <x:v>阶段2制作声音母题标准资产、必要视图/状态/声音样本与验证切片</x:v>
      </x:c>
      <x:c r="M88" s="35" t="str">
        <x:v>镜头26</x:v>
      </x:c>
      <x:c r="N88" s="35" t="str">
        <x:v>剧本明确;项目锁定;声音导演建议</x:v>
      </x:c>
      <x:c r="O88" s="35" t="str">
        <x:v>建议采用</x:v>
      </x:c>
      <x:c r="P88" s="35" t="str">
        <x:v>随对应P0资产或第二批生产包制作</x:v>
      </x:c>
    </x:row>
    <x:row r="89" ht="42" customHeight="1">
      <x:c r="A89" s="35" t="str">
        <x:v>ASR-SND-P1-013-宫门风雪喘息</x:v>
      </x:c>
      <x:c r="B89" s="35" t="str">
        <x:v>SND</x:v>
      </x:c>
      <x:c r="C89" s="35" t="str">
        <x:v>宫门风雪喘息</x:v>
      </x:c>
      <x:c r="D89" s="35" t="str">
        <x:v>P1</x:v>
      </x:c>
      <x:c r="E89" s="35" t="str">
        <x:v>27</x:v>
      </x:c>
      <x:c r="F89" s="35" t="str">
        <x:v>镜头27</x:v>
      </x:c>
      <x:c r="G89" s="35" t="str">
        <x:v>门轴、风雪、急喘三层可分辨</x:v>
      </x:c>
      <x:c r="H89" s="35" t="str">
        <x:v>门轴、风雪、急喘三层可分辨；详见《资产卡索引》对应ID</x:v>
      </x:c>
      <x:c r="I89" s="35" t="str">
        <x:v>按镜头距离、强度和节律生成可调用变体</x:v>
      </x:c>
      <x:c r="J89" s="35" t="str">
        <x:v>门轴、风雪、急喘三层可分辨</x:v>
      </x:c>
      <x:c r="K89" s="35" t="str">
        <x:v>继承所属场景已确认光影；不得临时创造神光或高饱和环境</x:v>
      </x:c>
      <x:c r="L89" s="35" t="str">
        <x:v>阶段2制作声音母题标准资产、必要视图/状态/声音样本与验证切片</x:v>
      </x:c>
      <x:c r="M89" s="35" t="str">
        <x:v>镜头27</x:v>
      </x:c>
      <x:c r="N89" s="35" t="str">
        <x:v>剧本明确;项目锁定;声音导演建议</x:v>
      </x:c>
      <x:c r="O89" s="35" t="str">
        <x:v>建议采用</x:v>
      </x:c>
      <x:c r="P89" s="35" t="str">
        <x:v>随对应P0资产或第二批生产包制作</x:v>
      </x:c>
    </x:row>
    <x:row r="90" ht="42" customHeight="1">
      <x:c r="A90" s="35" t="str">
        <x:v>ASR-SND-P0-014-绝对寂静</x:v>
      </x:c>
      <x:c r="B90" s="35" t="str">
        <x:v>SND</x:v>
      </x:c>
      <x:c r="C90" s="35" t="str">
        <x:v>绝对寂静</x:v>
      </x:c>
      <x:c r="D90" s="35" t="str">
        <x:v>P0</x:v>
      </x:c>
      <x:c r="E90" s="35" t="str">
        <x:v>29-30</x:v>
      </x:c>
      <x:c r="F90" s="35" t="str">
        <x:v>镜头29-30</x:v>
      </x:c>
      <x:c r="G90" s="35" t="str">
        <x:v>真正留白；无底噪、残响或音乐尾音</x:v>
      </x:c>
      <x:c r="H90" s="35" t="str">
        <x:v>真正留白；无底噪、残响或音乐尾音；详见《资产卡索引》对应ID</x:v>
      </x:c>
      <x:c r="I90" s="35" t="str">
        <x:v>按镜头距离、强度和节律生成可调用变体</x:v>
      </x:c>
      <x:c r="J90" s="35" t="str">
        <x:v>真正留白；无底噪、残响或音乐尾音</x:v>
      </x:c>
      <x:c r="K90" s="35" t="str">
        <x:v>继承所属场景已确认光影；不得临时创造神光或高饱和环境</x:v>
      </x:c>
      <x:c r="L90" s="35" t="str">
        <x:v>阶段2制作声音母题标准资产、必要视图/状态/声音样本与验证切片</x:v>
      </x:c>
      <x:c r="M90" s="35" t="str">
        <x:v>镜头29-30</x:v>
      </x:c>
      <x:c r="N90" s="35" t="str">
        <x:v>剧本明确;项目锁定;声音导演建议</x:v>
      </x:c>
      <x:c r="O90" s="35" t="str">
        <x:v>建议采用</x:v>
      </x:c>
      <x:c r="P90" s="35" t="str">
        <x:v>进入第一批或随P0共同依赖包制作；先验证后批量</x:v>
      </x:c>
    </x:row>
    <x:row r="91" ht="42" customHeight="1">
      <x:c r="A91" s="35" t="str">
        <x:v>ASR-SND-P2-015-灯芯爆裂</x:v>
      </x:c>
      <x:c r="B91" s="35" t="str">
        <x:v>SND</x:v>
      </x:c>
      <x:c r="C91" s="35" t="str">
        <x:v>灯芯爆裂</x:v>
      </x:c>
      <x:c r="D91" s="35" t="str">
        <x:v>P2</x:v>
      </x:c>
      <x:c r="E91" s="35" t="str">
        <x:v>01</x:v>
      </x:c>
      <x:c r="F91" s="35" t="str">
        <x:v>镜头01</x:v>
      </x:c>
      <x:c r="G91" s="35" t="str">
        <x:v>极轻、近场、一次真实灯芯声</x:v>
      </x:c>
      <x:c r="H91" s="35" t="str">
        <x:v>极轻、近场、一次真实灯芯声；详见《资产卡索引》对应ID</x:v>
      </x:c>
      <x:c r="I91" s="35" t="str">
        <x:v>按镜头距离、强度和节律生成可调用变体</x:v>
      </x:c>
      <x:c r="J91" s="35" t="str">
        <x:v>极轻、近场、一次真实灯芯声</x:v>
      </x:c>
      <x:c r="K91" s="35" t="str">
        <x:v>继承所属场景已确认光影；不得临时创造神光或高饱和环境</x:v>
      </x:c>
      <x:c r="L91" s="35" t="str">
        <x:v>阶段2制作声音母题标准资产、必要视图/状态/声音样本与验证切片</x:v>
      </x:c>
      <x:c r="M91" s="35" t="str">
        <x:v>镜头01</x:v>
      </x:c>
      <x:c r="N91" s="35" t="str">
        <x:v>剧本明确;项目锁定;声音导演建议</x:v>
      </x:c>
      <x:c r="O91" s="35" t="str">
        <x:v>建议采用</x:v>
      </x:c>
      <x:c r="P91" s="35" t="str">
        <x:v>主资产通过后按镜头缺口后置制作</x:v>
      </x:c>
    </x:row>
    <x:row r="92" ht="42" customHeight="1">
      <x:c r="A92" s="35" t="str">
        <x:v>ASR-SND-P1-016-低鼓与伏地衣袍</x:v>
      </x:c>
      <x:c r="B92" s="35" t="str">
        <x:v>SND</x:v>
      </x:c>
      <x:c r="C92" s="35" t="str">
        <x:v>低鼓与伏地衣袍</x:v>
      </x:c>
      <x:c r="D92" s="35" t="str">
        <x:v>P1</x:v>
      </x:c>
      <x:c r="E92" s="35" t="str">
        <x:v>25</x:v>
      </x:c>
      <x:c r="F92" s="35" t="str">
        <x:v>镜头25</x:v>
      </x:c>
      <x:c r="G92" s="35" t="str">
        <x:v>低鼓一记；衣袍伏地建立权力空间</x:v>
      </x:c>
      <x:c r="H92" s="35" t="str">
        <x:v>低鼓一记；衣袍伏地建立权力空间；详见《资产卡索引》对应ID</x:v>
      </x:c>
      <x:c r="I92" s="35" t="str">
        <x:v>按镜头距离、强度和节律生成可调用变体</x:v>
      </x:c>
      <x:c r="J92" s="35" t="str">
        <x:v>低鼓一记；衣袍伏地建立权力空间</x:v>
      </x:c>
      <x:c r="K92" s="35" t="str">
        <x:v>继承所属场景已确认光影；不得临时创造神光或高饱和环境</x:v>
      </x:c>
      <x:c r="L92" s="35" t="str">
        <x:v>阶段2制作声音母题标准资产、必要视图/状态/声音样本与验证切片</x:v>
      </x:c>
      <x:c r="M92" s="35" t="str">
        <x:v>镜头25</x:v>
      </x:c>
      <x:c r="N92" s="35" t="str">
        <x:v>剧本明确;项目锁定;声音导演建议</x:v>
      </x:c>
      <x:c r="O92" s="35" t="str">
        <x:v>建议采用</x:v>
      </x:c>
      <x:c r="P92" s="35" t="str">
        <x:v>随对应P0资产或第二批生产包制作</x:v>
      </x:c>
    </x:row>
    <x:row r="93" ht="42" customHeight="1">
      <x:c r="A93" s="35" t="str">
        <x:v>ASR-REL-P0-001-女主跨千年同一身份</x:v>
      </x:c>
      <x:c r="B93" s="35" t="str">
        <x:v>REL</x:v>
      </x:c>
      <x:c r="C93" s="35" t="str">
        <x:v>女主跨千年同一身份</x:v>
      </x:c>
      <x:c r="D93" s="35" t="str">
        <x:v>P0</x:v>
      </x:c>
      <x:c r="E93" s="35" t="str">
        <x:v>03-29</x:v>
      </x:c>
      <x:c r="F93" s="35" t="str">
        <x:v>镜头03-29</x:v>
      </x:c>
      <x:c r="G93" s="35" t="str">
        <x:v>全部CST继承同一眼型、眉骨、唇形与面部比例</x:v>
      </x:c>
      <x:c r="H93" s="35" t="str">
        <x:v>全部CST继承同一眼型、眉骨、唇形与面部比例；详见《资产卡索引》对应ID</x:v>
      </x:c>
      <x:c r="I93" s="35" t="str">
        <x:v>不单独生成；作为下游约束</x:v>
      </x:c>
      <x:c r="J93" s="35" t="str">
        <x:v>连续性规则</x:v>
      </x:c>
      <x:c r="K93" s="35" t="str">
        <x:v>继承所属场景已确认光影；不得临时创造神光或高饱和环境</x:v>
      </x:c>
      <x:c r="L93" s="35" t="str">
        <x:v>写入阶段2资产Prompt检查项与阶段3调用规则</x:v>
      </x:c>
      <x:c r="M93" s="35" t="str">
        <x:v>全片相关资产</x:v>
      </x:c>
      <x:c r="N93" s="35" t="str">
        <x:v>剧本明确;项目锁定;连续性分析</x:v>
      </x:c>
      <x:c r="O93" s="35" t="str">
        <x:v>建议采用</x:v>
      </x:c>
      <x:c r="P93" s="35" t="str">
        <x:v>进入第一批或随P0共同依赖包制作；先验证后批量</x:v>
      </x:c>
    </x:row>
    <x:row r="94" ht="42" customHeight="1">
      <x:c r="A94" s="35" t="str">
        <x:v>ASR-REL-P0-002-女主念珠接触</x:v>
      </x:c>
      <x:c r="B94" s="35" t="str">
        <x:v>REL</x:v>
      </x:c>
      <x:c r="C94" s="35" t="str">
        <x:v>女主念珠接触</x:v>
      </x:c>
      <x:c r="D94" s="35" t="str">
        <x:v>P0</x:v>
      </x:c>
      <x:c r="E94" s="35" t="str">
        <x:v>04、13、19</x:v>
      </x:c>
      <x:c r="F94" s="35" t="str">
        <x:v>镜头04、13、19</x:v>
      </x:c>
      <x:c r="G94" s="35" t="str">
        <x:v>手部比例、珠径、接触点与逆拨方向一致</x:v>
      </x:c>
      <x:c r="H94" s="35" t="str">
        <x:v>手部比例、珠径、接触点与逆拨方向一致；详见《资产卡索引》对应ID</x:v>
      </x:c>
      <x:c r="I94" s="35" t="str">
        <x:v>不单独生成；作为下游约束</x:v>
      </x:c>
      <x:c r="J94" s="35" t="str">
        <x:v>连续性规则</x:v>
      </x:c>
      <x:c r="K94" s="35" t="str">
        <x:v>继承所属场景已确认光影；不得临时创造神光或高饱和环境</x:v>
      </x:c>
      <x:c r="L94" s="35" t="str">
        <x:v>写入阶段2资产Prompt检查项与阶段3调用规则</x:v>
      </x:c>
      <x:c r="M94" s="35" t="str">
        <x:v>全片相关资产</x:v>
      </x:c>
      <x:c r="N94" s="35" t="str">
        <x:v>剧本明确;项目锁定;连续性分析</x:v>
      </x:c>
      <x:c r="O94" s="35" t="str">
        <x:v>建议采用</x:v>
      </x:c>
      <x:c r="P94" s="35" t="str">
        <x:v>进入第一批或随P0共同依赖包制作；先验证后批量</x:v>
      </x:c>
    </x:row>
    <x:row r="95" ht="42" customHeight="1">
      <x:c r="A95" s="35" t="str">
        <x:v>ASR-REL-P0-003-女主声纹连续</x:v>
      </x:c>
      <x:c r="B95" s="35" t="str">
        <x:v>REL</x:v>
      </x:c>
      <x:c r="C95" s="35" t="str">
        <x:v>女主声纹连续</x:v>
      </x:c>
      <x:c r="D95" s="35" t="str">
        <x:v>P0</x:v>
      </x:c>
      <x:c r="E95" s="35" t="str">
        <x:v>05、10、19、29、30</x:v>
      </x:c>
      <x:c r="F95" s="35" t="str">
        <x:v>镜头05、10、19、29、30</x:v>
      </x:c>
      <x:c r="G95" s="35" t="str">
        <x:v>VO、短句与片尾同一声纹</x:v>
      </x:c>
      <x:c r="H95" s="35" t="str">
        <x:v>VO、短句与片尾同一声纹；详见《资产卡索引》对应ID</x:v>
      </x:c>
      <x:c r="I95" s="35" t="str">
        <x:v>不单独生成；作为下游约束</x:v>
      </x:c>
      <x:c r="J95" s="35" t="str">
        <x:v>连续性规则</x:v>
      </x:c>
      <x:c r="K95" s="35" t="str">
        <x:v>继承所属场景已确认光影；不得临时创造神光或高饱和环境</x:v>
      </x:c>
      <x:c r="L95" s="35" t="str">
        <x:v>写入阶段2资产Prompt检查项与阶段3调用规则</x:v>
      </x:c>
      <x:c r="M95" s="35" t="str">
        <x:v>全片相关资产</x:v>
      </x:c>
      <x:c r="N95" s="35" t="str">
        <x:v>剧本明确;项目锁定;连续性分析</x:v>
      </x:c>
      <x:c r="O95" s="35" t="str">
        <x:v>建议采用</x:v>
      </x:c>
      <x:c r="P95" s="35" t="str">
        <x:v>进入第一批或随P0共同依赖包制作；先验证后批量</x:v>
      </x:c>
    </x:row>
    <x:row r="96" ht="42" customHeight="1">
      <x:c r="A96" s="35" t="str">
        <x:v>ASR-REL-P0-004-佛非正面空间存在</x:v>
      </x:c>
      <x:c r="B96" s="35" t="str">
        <x:v>REL</x:v>
      </x:c>
      <x:c r="C96" s="35" t="str">
        <x:v>佛非正面空间存在</x:v>
      </x:c>
      <x:c r="D96" s="35" t="str">
        <x:v>P0</x:v>
      </x:c>
      <x:c r="E96" s="35" t="str">
        <x:v>07、11、29</x:v>
      </x:c>
      <x:c r="F96" s="35" t="str">
        <x:v>镜头07、11、29</x:v>
      </x:c>
      <x:c r="G96" s="35" t="str">
        <x:v>佛不正面，不转头选择女主</x:v>
      </x:c>
      <x:c r="H96" s="35" t="str">
        <x:v>佛不正面，不转头选择女主；详见《资产卡索引》对应ID</x:v>
      </x:c>
      <x:c r="I96" s="35" t="str">
        <x:v>不单独生成；作为下游约束</x:v>
      </x:c>
      <x:c r="J96" s="35" t="str">
        <x:v>连续性规则</x:v>
      </x:c>
      <x:c r="K96" s="35" t="str">
        <x:v>继承所属场景已确认光影；不得临时创造神光或高饱和环境</x:v>
      </x:c>
      <x:c r="L96" s="35" t="str">
        <x:v>写入阶段2资产Prompt检查项与阶段3调用规则</x:v>
      </x:c>
      <x:c r="M96" s="35" t="str">
        <x:v>全片相关资产</x:v>
      </x:c>
      <x:c r="N96" s="35" t="str">
        <x:v>剧本明确;项目锁定;连续性分析</x:v>
      </x:c>
      <x:c r="O96" s="35" t="str">
        <x:v>建议采用</x:v>
      </x:c>
      <x:c r="P96" s="35" t="str">
        <x:v>进入第一批或随P0共同依赖包制作；先验证后批量</x:v>
      </x:c>
    </x:row>
    <x:row r="97" ht="42" customHeight="1">
      <x:c r="A97" s="35" t="str">
        <x:v>ASR-REL-P0-005-佛国客观空间轴线</x:v>
      </x:c>
      <x:c r="B97" s="35" t="str">
        <x:v>REL</x:v>
      </x:c>
      <x:c r="C97" s="35" t="str">
        <x:v>佛国客观空间轴线</x:v>
      </x:c>
      <x:c r="D97" s="35" t="str">
        <x:v>P0</x:v>
      </x:c>
      <x:c r="E97" s="35" t="str">
        <x:v>02-18</x:v>
      </x:c>
      <x:c r="F97" s="35" t="str">
        <x:v>镜头02-18</x:v>
      </x:c>
      <x:c r="G97" s="35" t="str">
        <x:v>主观压缩后回到同一殿内—庭院—树下轴线</x:v>
      </x:c>
      <x:c r="H97" s="35" t="str">
        <x:v>主观压缩后回到同一殿内—庭院—树下轴线；详见《资产卡索引》对应ID</x:v>
      </x:c>
      <x:c r="I97" s="35" t="str">
        <x:v>不单独生成；作为下游约束</x:v>
      </x:c>
      <x:c r="J97" s="35" t="str">
        <x:v>连续性规则</x:v>
      </x:c>
      <x:c r="K97" s="35" t="str">
        <x:v>继承所属场景已确认光影；不得临时创造神光或高饱和环境</x:v>
      </x:c>
      <x:c r="L97" s="35" t="str">
        <x:v>写入阶段2资产Prompt检查项与阶段3调用规则</x:v>
      </x:c>
      <x:c r="M97" s="35" t="str">
        <x:v>全片相关资产</x:v>
      </x:c>
      <x:c r="N97" s="35" t="str">
        <x:v>剧本明确;项目锁定;连续性分析</x:v>
      </x:c>
      <x:c r="O97" s="35" t="str">
        <x:v>建议采用</x:v>
      </x:c>
      <x:c r="P97" s="35" t="str">
        <x:v>进入第一批或随P0共同依赖包制作；先验证后批量</x:v>
      </x:c>
    </x:row>
    <x:row r="98" ht="42" customHeight="1">
      <x:c r="A98" s="35" t="str">
        <x:v>ASR-REL-P0-006-树枝落叶来源</x:v>
      </x:c>
      <x:c r="B98" s="35" t="str">
        <x:v>REL</x:v>
      </x:c>
      <x:c r="C98" s="35" t="str">
        <x:v>树枝落叶来源</x:v>
      </x:c>
      <x:c r="D98" s="35" t="str">
        <x:v>P0</x:v>
      </x:c>
      <x:c r="E98" s="35" t="str">
        <x:v>14-16</x:v>
      </x:c>
      <x:c r="F98" s="35" t="str">
        <x:v>镜头14-16</x:v>
      </x:c>
      <x:c r="G98" s="35" t="str">
        <x:v>同一叶形从真实枝端松开，枝条不回弹</x:v>
      </x:c>
      <x:c r="H98" s="35" t="str">
        <x:v>同一叶形从真实枝端松开，枝条不回弹；详见《资产卡索引》对应ID</x:v>
      </x:c>
      <x:c r="I98" s="35" t="str">
        <x:v>不单独生成；作为下游约束</x:v>
      </x:c>
      <x:c r="J98" s="35" t="str">
        <x:v>连续性规则</x:v>
      </x:c>
      <x:c r="K98" s="35" t="str">
        <x:v>继承所属场景已确认光影；不得临时创造神光或高饱和环境</x:v>
      </x:c>
      <x:c r="L98" s="35" t="str">
        <x:v>写入阶段2资产Prompt检查项与阶段3调用规则</x:v>
      </x:c>
      <x:c r="M98" s="35" t="str">
        <x:v>全片相关资产</x:v>
      </x:c>
      <x:c r="N98" s="35" t="str">
        <x:v>剧本明确;项目锁定;连续性分析</x:v>
      </x:c>
      <x:c r="O98" s="35" t="str">
        <x:v>建议采用</x:v>
      </x:c>
      <x:c r="P98" s="35" t="str">
        <x:v>进入第一批或随P0共同依赖包制作；先验证后批量</x:v>
      </x:c>
    </x:row>
    <x:row r="99" ht="42" customHeight="1">
      <x:c r="A99" s="35" t="str">
        <x:v>ASR-REL-P0-007-主观目光与客观佛对照</x:v>
      </x:c>
      <x:c r="B99" s="35" t="str">
        <x:v>REL</x:v>
      </x:c>
      <x:c r="C99" s="35" t="str">
        <x:v>主观目光与客观佛对照</x:v>
      </x:c>
      <x:c r="D99" s="35" t="str">
        <x:v>P0</x:v>
      </x:c>
      <x:c r="E99" s="35" t="str">
        <x:v>08、11</x:v>
      </x:c>
      <x:c r="F99" s="35" t="str">
        <x:v>镜头08、11</x:v>
      </x:c>
      <x:c r="G99" s="35" t="str">
        <x:v>主观唯一感不能改写客观事实</x:v>
      </x:c>
      <x:c r="H99" s="35" t="str">
        <x:v>主观唯一感不能改写客观事实；详见《资产卡索引》对应ID</x:v>
      </x:c>
      <x:c r="I99" s="35" t="str">
        <x:v>不单独生成；作为下游约束</x:v>
      </x:c>
      <x:c r="J99" s="35" t="str">
        <x:v>连续性规则</x:v>
      </x:c>
      <x:c r="K99" s="35" t="str">
        <x:v>继承所属场景已确认光影；不得临时创造神光或高饱和环境</x:v>
      </x:c>
      <x:c r="L99" s="35" t="str">
        <x:v>写入阶段2资产Prompt检查项与阶段3调用规则</x:v>
      </x:c>
      <x:c r="M99" s="35" t="str">
        <x:v>全片相关资产</x:v>
      </x:c>
      <x:c r="N99" s="35" t="str">
        <x:v>剧本明确;项目锁定;连续性分析</x:v>
      </x:c>
      <x:c r="O99" s="35" t="str">
        <x:v>建议采用</x:v>
      </x:c>
      <x:c r="P99" s="35" t="str">
        <x:v>进入第一批或随P0共同依赖包制作；先验证后批量</x:v>
      </x:c>
    </x:row>
    <x:row r="100" ht="42" customHeight="1">
      <x:c r="A100" s="35" t="str">
        <x:v>ASR-REL-P0-008-念珠秩序停顿逆拨</x:v>
      </x:c>
      <x:c r="B100" s="35" t="str">
        <x:v>REL</x:v>
      </x:c>
      <x:c r="C100" s="35" t="str">
        <x:v>念珠秩序停顿逆拨</x:v>
      </x:c>
      <x:c r="D100" s="35" t="str">
        <x:v>P0</x:v>
      </x:c>
      <x:c r="E100" s="35" t="str">
        <x:v>01、04、13、19</x:v>
      </x:c>
      <x:c r="F100" s="35" t="str">
        <x:v>镜头01、04、13、19</x:v>
      </x:c>
      <x:c r="G100" s="35" t="str">
        <x:v>稳定—停住—握住—逆拨动作声一致</x:v>
      </x:c>
      <x:c r="H100" s="35" t="str">
        <x:v>稳定—停住—握住—逆拨动作声一致；详见《资产卡索引》对应ID</x:v>
      </x:c>
      <x:c r="I100" s="35" t="str">
        <x:v>不单独生成；作为下游约束</x:v>
      </x:c>
      <x:c r="J100" s="35" t="str">
        <x:v>连续性规则</x:v>
      </x:c>
      <x:c r="K100" s="35" t="str">
        <x:v>继承所属场景已确认光影；不得临时创造神光或高饱和环境</x:v>
      </x:c>
      <x:c r="L100" s="35" t="str">
        <x:v>写入阶段2资产Prompt检查项与阶段3调用规则</x:v>
      </x:c>
      <x:c r="M100" s="35" t="str">
        <x:v>全片相关资产</x:v>
      </x:c>
      <x:c r="N100" s="35" t="str">
        <x:v>剧本明确;项目锁定;连续性分析</x:v>
      </x:c>
      <x:c r="O100" s="35" t="str">
        <x:v>建议采用</x:v>
      </x:c>
      <x:c r="P100" s="35" t="str">
        <x:v>进入第一批或随P0共同依赖包制作；先验证后批量</x:v>
      </x:c>
    </x:row>
    <x:row r="101" ht="42" customHeight="1">
      <x:c r="A101" s="35" t="str">
        <x:v>ASR-REL-P0-009-青绿落叶全片连续</x:v>
      </x:c>
      <x:c r="B101" s="35" t="str">
        <x:v>REL</x:v>
      </x:c>
      <x:c r="C101" s="35" t="str">
        <x:v>青绿落叶全片连续</x:v>
      </x:c>
      <x:c r="D101" s="35" t="str">
        <x:v>P0</x:v>
      </x:c>
      <x:c r="E101" s="35" t="str">
        <x:v>14、16、20、29</x:v>
      </x:c>
      <x:c r="F101" s="35" t="str">
        <x:v>镜头14、16、20、29</x:v>
      </x:c>
      <x:c r="G101" s="35" t="str">
        <x:v>叶形、色彩、叶脉与完好状态连续</x:v>
      </x:c>
      <x:c r="H101" s="35" t="str">
        <x:v>叶形、色彩、叶脉与完好状态连续；详见《资产卡索引》对应ID</x:v>
      </x:c>
      <x:c r="I101" s="35" t="str">
        <x:v>不单独生成；作为下游约束</x:v>
      </x:c>
      <x:c r="J101" s="35" t="str">
        <x:v>连续性规则</x:v>
      </x:c>
      <x:c r="K101" s="35" t="str">
        <x:v>继承所属场景已确认光影；不得临时创造神光或高饱和环境</x:v>
      </x:c>
      <x:c r="L101" s="35" t="str">
        <x:v>写入阶段2资产Prompt检查项与阶段3调用规则</x:v>
      </x:c>
      <x:c r="M101" s="35" t="str">
        <x:v>全片相关资产</x:v>
      </x:c>
      <x:c r="N101" s="35" t="str">
        <x:v>剧本明确;项目锁定;连续性分析</x:v>
      </x:c>
      <x:c r="O101" s="35" t="str">
        <x:v>建议采用</x:v>
      </x:c>
      <x:c r="P101" s="35" t="str">
        <x:v>进入第一批或随P0共同依赖包制作；先验证后批量</x:v>
      </x:c>
    </x:row>
    <x:row r="102" ht="42" customHeight="1">
      <x:c r="A102" s="35" t="str">
        <x:v>ASR-REL-P0-010-轮回动作接力</x:v>
      </x:c>
      <x:c r="B102" s="35" t="str">
        <x:v>REL</x:v>
      </x:c>
      <x:c r="C102" s="35" t="str">
        <x:v>轮回动作接力</x:v>
      </x:c>
      <x:c r="D102" s="35" t="str">
        <x:v>P0</x:v>
      </x:c>
      <x:c r="E102" s="35" t="str">
        <x:v>20-29</x:v>
      </x:c>
      <x:c r="F102" s="35" t="str">
        <x:v>镜头20-29</x:v>
      </x:c>
      <x:c r="G102" s="35" t="str">
        <x:v>伸手—发簪—握掌—推杯—落印—合叶</x:v>
      </x:c>
      <x:c r="H102" s="35" t="str">
        <x:v>伸手—发簪—握掌—推杯—落印—合叶；详见《资产卡索引》对应ID</x:v>
      </x:c>
      <x:c r="I102" s="35" t="str">
        <x:v>不单独生成；作为下游约束</x:v>
      </x:c>
      <x:c r="J102" s="35" t="str">
        <x:v>连续性规则</x:v>
      </x:c>
      <x:c r="K102" s="35" t="str">
        <x:v>继承所属场景已确认光影；不得临时创造神光或高饱和环境</x:v>
      </x:c>
      <x:c r="L102" s="35" t="str">
        <x:v>写入阶段2资产Prompt检查项与阶段3调用规则</x:v>
      </x:c>
      <x:c r="M102" s="35" t="str">
        <x:v>全片相关资产</x:v>
      </x:c>
      <x:c r="N102" s="35" t="str">
        <x:v>剧本明确;项目锁定;连续性分析</x:v>
      </x:c>
      <x:c r="O102" s="35" t="str">
        <x:v>建议采用</x:v>
      </x:c>
      <x:c r="P102" s="35" t="str">
        <x:v>进入第一批或随P0共同依赖包制作；先验证后批量</x:v>
      </x:c>
    </x:row>
    <x:row r="103" ht="42" customHeight="1">
      <x:c r="A103" s="35" t="str">
        <x:v>ASR-REL-P1-011-声音秩序到人间冲击</x:v>
      </x:c>
      <x:c r="B103" s="35" t="str">
        <x:v>REL</x:v>
      </x:c>
      <x:c r="C103" s="35" t="str">
        <x:v>声音秩序到人间冲击</x:v>
      </x:c>
      <x:c r="D103" s="35" t="str">
        <x:v>P1</x:v>
      </x:c>
      <x:c r="E103" s="35" t="str">
        <x:v>01-30</x:v>
      </x:c>
      <x:c r="F103" s="35" t="str">
        <x:v>镜头01-30</x:v>
      </x:c>
      <x:c r="G103" s="35" t="str">
        <x:v>秩序—缺拍—心跳—撞击—绝对寂静</x:v>
      </x:c>
      <x:c r="H103" s="35" t="str">
        <x:v>秩序—缺拍—心跳—撞击—绝对寂静；详见《资产卡索引》对应ID</x:v>
      </x:c>
      <x:c r="I103" s="35" t="str">
        <x:v>不单独生成；作为下游约束</x:v>
      </x:c>
      <x:c r="J103" s="35" t="str">
        <x:v>连续性规则</x:v>
      </x:c>
      <x:c r="K103" s="35" t="str">
        <x:v>继承所属场景已确认光影；不得临时创造神光或高饱和环境</x:v>
      </x:c>
      <x:c r="L103" s="35" t="str">
        <x:v>写入阶段2资产Prompt检查项与阶段3调用规则</x:v>
      </x:c>
      <x:c r="M103" s="35" t="str">
        <x:v>全片相关资产</x:v>
      </x:c>
      <x:c r="N103" s="35" t="str">
        <x:v>剧本明确;项目锁定;连续性分析</x:v>
      </x:c>
      <x:c r="O103" s="35" t="str">
        <x:v>建议采用</x:v>
      </x:c>
      <x:c r="P103" s="35" t="str">
        <x:v>随对应P0资产或第二批生产包制作</x:v>
      </x:c>
    </x:row>
    <x:row r="104" ht="42" customHeight="1">
      <x:c r="A104" s="35" t="str">
        <x:v>ASR-REL-P1-012-唯一可读文字</x:v>
      </x:c>
      <x:c r="B104" s="35" t="str">
        <x:v>REL</x:v>
      </x:c>
      <x:c r="C104" s="35" t="str">
        <x:v>唯一可读文字</x:v>
      </x:c>
      <x:c r="D104" s="35" t="str">
        <x:v>P1</x:v>
      </x:c>
      <x:c r="E104" s="35" t="str">
        <x:v>20、26</x:v>
      </x:c>
      <x:c r="F104" s="35" t="str">
        <x:v>镜头20、26</x:v>
      </x:c>
      <x:c r="G104" s="35" t="str">
        <x:v>仅《阿修罗》清晰可读</x:v>
      </x:c>
      <x:c r="H104" s="35" t="str">
        <x:v>仅《阿修罗》清晰可读；详见《资产卡索引》对应ID</x:v>
      </x:c>
      <x:c r="I104" s="35" t="str">
        <x:v>不单独生成；作为下游约束</x:v>
      </x:c>
      <x:c r="J104" s="35" t="str">
        <x:v>连续性规则</x:v>
      </x:c>
      <x:c r="K104" s="35" t="str">
        <x:v>继承所属场景已确认光影；不得临时创造神光或高饱和环境</x:v>
      </x:c>
      <x:c r="L104" s="35" t="str">
        <x:v>写入阶段2资产Prompt检查项与阶段3调用规则</x:v>
      </x:c>
      <x:c r="M104" s="35" t="str">
        <x:v>全片相关资产</x:v>
      </x:c>
      <x:c r="N104" s="35" t="str">
        <x:v>剧本明确;项目锁定;连续性分析</x:v>
      </x:c>
      <x:c r="O104" s="35" t="str">
        <x:v>建议采用</x:v>
      </x:c>
      <x:c r="P104" s="35" t="str">
        <x:v>随对应P0资产或第二批生产包制作</x:v>
      </x:c>
    </x:row>
    <x:row r="105" ht="42" customHeight="1">
      <x:c r="A105" s="35" t="str">
        <x:v>ASR-REL-P1-013-青绿唯一生命色</x:v>
      </x:c>
      <x:c r="B105" s="35" t="str">
        <x:v>REL</x:v>
      </x:c>
      <x:c r="C105" s="35" t="str">
        <x:v>青绿唯一生命色</x:v>
      </x:c>
      <x:c r="D105" s="35" t="str">
        <x:v>P1</x:v>
      </x:c>
      <x:c r="E105" s="35" t="str">
        <x:v>全片</x:v>
      </x:c>
      <x:c r="F105" s="35" t="str">
        <x:v>全片</x:v>
      </x:c>
      <x:c r="G105" s="35" t="str">
        <x:v>所有时代色低于青绿叶的视觉权重</x:v>
      </x:c>
      <x:c r="H105" s="35" t="str">
        <x:v>所有时代色低于青绿叶的视觉权重；详见《资产卡索引》对应ID</x:v>
      </x:c>
      <x:c r="I105" s="35" t="str">
        <x:v>不单独生成；作为下游约束</x:v>
      </x:c>
      <x:c r="J105" s="35" t="str">
        <x:v>连续性规则</x:v>
      </x:c>
      <x:c r="K105" s="35" t="str">
        <x:v>继承所属场景已确认光影；不得临时创造神光或高饱和环境</x:v>
      </x:c>
      <x:c r="L105" s="35" t="str">
        <x:v>写入阶段2资产Prompt检查项与阶段3调用规则</x:v>
      </x:c>
      <x:c r="M105" s="35" t="str">
        <x:v>全片相关资产</x:v>
      </x:c>
      <x:c r="N105" s="35" t="str">
        <x:v>剧本明确;项目锁定;连续性分析</x:v>
      </x:c>
      <x:c r="O105" s="35" t="str">
        <x:v>建议采用</x:v>
      </x:c>
      <x:c r="P105" s="35" t="str">
        <x:v>随对应P0资产或第二批生产包制作</x:v>
      </x:c>
    </x:row>
    <x:row r="106" ht="42" customHeight="1">
      <x:c r="A106" s="35" t="str">
        <x:v>ASR-REL-P1-014-群像秩序与去复制</x:v>
      </x:c>
      <x:c r="B106" s="35" t="str">
        <x:v>REL</x:v>
      </x:c>
      <x:c r="C106" s="35" t="str">
        <x:v>群像秩序与去复制</x:v>
      </x:c>
      <x:c r="D106" s="35" t="str">
        <x:v>P1</x:v>
      </x:c>
      <x:c r="E106" s="35" t="str">
        <x:v>03、07、21、25、28-29</x:v>
      </x:c>
      <x:c r="F106" s="35" t="str">
        <x:v>镜头03、07、21、25、28-29</x:v>
      </x:c>
      <x:c r="G106" s="35" t="str">
        <x:v>统一秩序中保留真实个体差异</x:v>
      </x:c>
      <x:c r="H106" s="35" t="str">
        <x:v>统一秩序中保留真实个体差异；详见《资产卡索引》对应ID</x:v>
      </x:c>
      <x:c r="I106" s="35" t="str">
        <x:v>不单独生成；作为下游约束</x:v>
      </x:c>
      <x:c r="J106" s="35" t="str">
        <x:v>连续性规则</x:v>
      </x:c>
      <x:c r="K106" s="35" t="str">
        <x:v>继承所属场景已确认光影；不得临时创造神光或高饱和环境</x:v>
      </x:c>
      <x:c r="L106" s="35" t="str">
        <x:v>写入阶段2资产Prompt检查项与阶段3调用规则</x:v>
      </x:c>
      <x:c r="M106" s="35" t="str">
        <x:v>全片相关资产</x:v>
      </x:c>
      <x:c r="N106" s="35" t="str">
        <x:v>剧本明确;项目锁定;连续性分析</x:v>
      </x:c>
      <x:c r="O106" s="35" t="str">
        <x:v>建议采用</x:v>
      </x:c>
      <x:c r="P106" s="35" t="str">
        <x:v>随对应P0资产或第二批生产包制作</x:v>
      </x:c>
    </x:row>
  </x:sheetData>
  <x:mergeCells>
    <x:mergeCell ref="A1:P1"/>
    <x:mergeCell ref="A2:P2"/>
  </x:mergeCells>
  <x:conditionalFormatting sqref="D5:D106">
    <x:cfRule type="containsText" dxfId="0" priority="1" operator="containsText" text="P0"/>
    <x:cfRule type="containsText" dxfId="1" priority="2" operator="containsText" text="P1"/>
    <x:cfRule type="containsText" dxfId="2" priority="3" operator="containsText" text="P2"/>
  </x:conditionalFormatting>
  <x:dataValidations count="2">
    <x:dataValidation type="list" sqref="D5:D106">
      <x:formula1>"P0,P1,P2"</x:formula1>
    </x:dataValidation>
    <x:dataValidation type="list" sqref="O5:O106">
      <x:formula1>"已锁定,建议采用,待主创确认,待外部回流,视图待确认,镜头Prompt控制,未能确认,阶段2候选确认,生产策略已锁定"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b33a888421f422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0" hidden="0" customWidth="1"/>
    <x:col min="3" max="3" width="24" hidden="0" customWidth="1"/>
    <x:col min="4" max="4" width="8" hidden="0" customWidth="1"/>
    <x:col min="5" max="5" width="18" hidden="0" customWidth="1"/>
    <x:col min="6" max="6" width="38" hidden="0" customWidth="1"/>
    <x:col min="7" max="7" width="30" hidden="0" customWidth="1"/>
    <x:col min="8" max="8" width="16" hidden="0" customWidth="1"/>
    <x:col min="9" max="9" width="34" hidden="0" customWidth="1"/>
  </x:cols>
  <x:sheetData>
    <x:row r="1" ht="30" customHeight="1">
      <x:c r="A1" s="19" t="str">
        <x:v>角色与服装状态资产</x:v>
      </x:c>
      <x:c r="B1" s="19"/>
      <x:c r="C1" s="19"/>
      <x:c r="D1" s="19"/>
      <x:c r="E1" s="19"/>
      <x:c r="F1" s="19"/>
      <x:c r="G1" s="19"/>
      <x:c r="H1" s="19"/>
      <x:c r="I1" s="19"/>
    </x:row>
    <x:row r="2" ht="22" customHeight="1">
      <x:c r="A2" s="6" t="str">
        <x:v>《阿修罗》阶段1｜v1.0（正式锁定版）｜生成日期 2026-07-12</x:v>
      </x:c>
      <x:c r="B2" s="6"/>
      <x:c r="C2" s="6"/>
      <x:c r="D2" s="6"/>
      <x:c r="E2" s="6"/>
      <x:c r="F2" s="6"/>
      <x:c r="G2" s="6"/>
      <x:c r="H2" s="6"/>
      <x:c r="I2" s="6"/>
    </x:row>
    <x:row r="4" ht="30" customHeight="1">
      <x:c r="A4" s="31" t="str">
        <x:v>生产资产ID</x:v>
      </x:c>
      <x:c r="B4" s="32" t="str">
        <x:v>类型</x:v>
      </x:c>
      <x:c r="C4" s="32" t="str">
        <x:v>资产名称</x:v>
      </x:c>
      <x:c r="D4" s="32" t="str">
        <x:v>级别</x:v>
      </x:c>
      <x:c r="E4" s="32" t="str">
        <x:v>剧本出处</x:v>
      </x:c>
      <x:c r="F4" s="32" t="str">
        <x:v>设计摘要</x:v>
      </x:c>
      <x:c r="G4" s="32" t="str">
        <x:v>状态/变体</x:v>
      </x:c>
      <x:c r="H4" s="32" t="str">
        <x:v>确认状态</x:v>
      </x:c>
      <x:c r="I4" s="33" t="str">
        <x:v>阶段2建议</x:v>
      </x:c>
    </x:row>
    <x:row r="5" ht="42" customHeight="1">
      <x:c r="A5" s="34" t="str">
        <x:v>ASR-CHR-P0-001-女主基础身份</x:v>
      </x:c>
      <x:c r="B5" s="34" t="str">
        <x:v>CHR</x:v>
      </x:c>
      <x:c r="C5" s="34" t="str">
        <x:v>女主基础身份</x:v>
      </x:c>
      <x:c r="D5" s="34" t="str">
        <x:v>P0</x:v>
      </x:c>
      <x:c r="E5" s="34" t="str">
        <x:v>03-05、09-10、12-13、17-19、21-30</x:v>
      </x:c>
      <x:c r="F5" s="34" t="str">
        <x:v>佛国20—22岁；跨千年同一面部身份；轮回年龄按历史事件独立变化</x:v>
      </x:c>
      <x:c r="G5" s="34" t="str">
        <x:v>按资产卡要求生成基础态与必要关系切片</x:v>
      </x:c>
      <x:c r="H5" s="34" t="str">
        <x:v>阶段2候选确认</x:v>
      </x:c>
      <x:c r="I5" s="34" t="str">
        <x:v>进入第一批或随P0共同依赖包制作；先验证后批量</x:v>
      </x:c>
    </x:row>
    <x:row r="6" ht="42" customHeight="1">
      <x:c r="A6" s="35" t="str">
        <x:v>ASR-CHR-P0-002-佛非正面存在</x:v>
      </x:c>
      <x:c r="B6" s="35" t="str">
        <x:v>CHR</x:v>
      </x:c>
      <x:c r="C6" s="35" t="str">
        <x:v>佛非正面存在</x:v>
      </x:c>
      <x:c r="D6" s="35" t="str">
        <x:v>P0</x:v>
      </x:c>
      <x:c r="E6" s="35" t="str">
        <x:v>07、11、15、29</x:v>
      </x:c>
      <x:c r="F6" s="35" t="str">
        <x:v>仅袈裟边缘、肩线、垂手和听众朝向；禁止正脸与私人凝视</x:v>
      </x:c>
      <x:c r="G6" s="35" t="str">
        <x:v>按资产卡要求生成基础态与必要关系切片</x:v>
      </x:c>
      <x:c r="H6" s="35" t="str">
        <x:v>建议采用</x:v>
      </x:c>
      <x:c r="I6" s="35" t="str">
        <x:v>进入第一批或随P0共同依赖包制作；先验证后批量</x:v>
      </x:c>
    </x:row>
    <x:row r="7" ht="42" customHeight="1">
      <x:c r="A7" s="35" t="str">
        <x:v>ASR-CHR-P1-003-轮回爱人模糊身份</x:v>
      </x:c>
      <x:c r="B7" s="35" t="str">
        <x:v>CHR</x:v>
      </x:c>
      <x:c r="C7" s="35" t="str">
        <x:v>轮回爱人模糊身份</x:v>
      </x:c>
      <x:c r="D7" s="35" t="str">
        <x:v>P1</x:v>
      </x:c>
      <x:c r="E7" s="35" t="str">
        <x:v>22、27</x:v>
      </x:c>
      <x:c r="F7" s="35" t="str">
        <x:v>局部人影与手部；不抢女主身份</x:v>
      </x:c>
      <x:c r="G7" s="35" t="str">
        <x:v>按资产卡要求生成基础态与必要关系切片</x:v>
      </x:c>
      <x:c r="H7" s="35" t="str">
        <x:v>建议采用</x:v>
      </x:c>
      <x:c r="I7" s="35" t="str">
        <x:v>随对应P0资产或第二批生产包制作</x:v>
      </x:c>
    </x:row>
    <x:row r="8" ht="42" customHeight="1">
      <x:c r="A8" s="35" t="str">
        <x:v>ASR-CHR-P1-004-被取代女子</x:v>
      </x:c>
      <x:c r="B8" s="35" t="str">
        <x:v>CHR</x:v>
      </x:c>
      <x:c r="C8" s="35" t="str">
        <x:v>被取代女子</x:v>
      </x:c>
      <x:c r="D8" s="35" t="str">
        <x:v>P1</x:v>
      </x:c>
      <x:c r="E8" s="35" t="str">
        <x:v>23</x:v>
      </x:c>
      <x:c r="F8" s="35" t="str">
        <x:v>局部侧影与递簪手部；不妖魔化情敌</x:v>
      </x:c>
      <x:c r="G8" s="35" t="str">
        <x:v>按资产卡要求生成基础态与必要关系切片</x:v>
      </x:c>
      <x:c r="H8" s="35" t="str">
        <x:v>建议采用</x:v>
      </x:c>
      <x:c r="I8" s="35" t="str">
        <x:v>随对应P0资产或第二批生产包制作</x:v>
      </x:c>
    </x:row>
    <x:row r="9" ht="42" customHeight="1">
      <x:c r="A9" s="35" t="str">
        <x:v>ASR-CST-P0-001-女主佛国比丘尼基础</x:v>
      </x:c>
      <x:c r="B9" s="35" t="str">
        <x:v>CST</x:v>
      </x:c>
      <x:c r="C9" s="35" t="str">
        <x:v>女主佛国比丘尼基础</x:v>
      </x:c>
      <x:c r="D9" s="35" t="str">
        <x:v>P0</x:v>
      </x:c>
      <x:c r="E9" s="35" t="str">
        <x:v>03-05、09-10、12-13、17-19</x:v>
      </x:c>
      <x:c r="F9" s="35" t="str">
        <x:v>20—22岁；非朝代、非地域天国修行服；盘坐与拨珠衣褶真实</x:v>
      </x:c>
      <x:c r="G9" s="35" t="str">
        <x:v>继承女主基础身份的独立状态变体</x:v>
      </x:c>
      <x:c r="H9" s="35" t="str">
        <x:v>建议采用</x:v>
      </x:c>
      <x:c r="I9" s="35" t="str">
        <x:v>进入第一批或随P0共同依赖包制作；先验证后批量</x:v>
      </x:c>
    </x:row>
    <x:row r="10" ht="42" customHeight="1">
      <x:c r="A10" s="35" t="str">
        <x:v>ASR-CST-P0-002-女主被照见眼润状态</x:v>
      </x:c>
      <x:c r="B10" s="35" t="str">
        <x:v>CST</x:v>
      </x:c>
      <x:c r="C10" s="35" t="str">
        <x:v>女主被照见眼润状态</x:v>
      </x:c>
      <x:c r="D10" s="35" t="str">
        <x:v>P0</x:v>
      </x:c>
      <x:c r="E10" s="35" t="str">
        <x:v>09-12、17</x:v>
      </x:c>
      <x:c r="F10" s="35" t="str">
        <x:v>睫毛轻颤、瞳孔轻收、唇线微松、眼润无泪落</x:v>
      </x:c>
      <x:c r="G10" s="35" t="str">
        <x:v>继承女主基础身份的独立状态变体</x:v>
      </x:c>
      <x:c r="H10" s="35" t="str">
        <x:v>建议采用</x:v>
      </x:c>
      <x:c r="I10" s="35" t="str">
        <x:v>进入第一批或随P0共同依赖包制作；先验证后批量</x:v>
      </x:c>
    </x:row>
    <x:row r="11" ht="42" customHeight="1">
      <x:c r="A11" s="35" t="str">
        <x:v>ASR-CST-P1-003-女主王府少女</x:v>
      </x:c>
      <x:c r="B11" s="35" t="str">
        <x:v>CST</x:v>
      </x:c>
      <x:c r="C11" s="35" t="str">
        <x:v>女主王府少女</x:v>
      </x:c>
      <x:c r="D11" s="35" t="str">
        <x:v>P1</x:v>
      </x:c>
      <x:c r="E11" s="35" t="str">
        <x:v>21</x:v>
      </x:c>
      <x:c r="F11" s="35" t="str">
        <x:v>明代中后期；16—18岁；宗室少女常服与木构深院</x:v>
      </x:c>
      <x:c r="G11" s="35" t="str">
        <x:v>继承女主基础身份的独立状态变体</x:v>
      </x:c>
      <x:c r="H11" s="35" t="str">
        <x:v>建议采用</x:v>
      </x:c>
      <x:c r="I11" s="35" t="str">
        <x:v>随对应P0资产或第二批生产包制作</x:v>
      </x:c>
    </x:row>
    <x:row r="12" ht="42" customHeight="1">
      <x:c r="A12" s="35" t="str">
        <x:v>ASR-CST-P1-004-女主灯下相爱</x:v>
      </x:c>
      <x:c r="B12" s="35" t="str">
        <x:v>CST</x:v>
      </x:c>
      <x:c r="C12" s="35" t="str">
        <x:v>女主灯下相爱</x:v>
      </x:c>
      <x:c r="D12" s="35" t="str">
        <x:v>P1</x:v>
      </x:c>
      <x:c r="E12" s="35" t="str">
        <x:v>22</x:v>
      </x:c>
      <x:c r="F12" s="35" t="str">
        <x:v>西汉临邛富商家庭女性；20—25岁生产范围；同期琴声</x:v>
      </x:c>
      <x:c r="G12" s="35" t="str">
        <x:v>继承女主基础身份的独立状态变体</x:v>
      </x:c>
      <x:c r="H12" s="35" t="str">
        <x:v>建议采用</x:v>
      </x:c>
      <x:c r="I12" s="35" t="str">
        <x:v>随对应P0资产或第二批生产包制作</x:v>
      </x:c>
    </x:row>
    <x:row r="13" ht="42" customHeight="1">
      <x:c r="A13" s="35" t="str">
        <x:v>ASR-CST-P1-005-女主帘后目击</x:v>
      </x:c>
      <x:c r="B13" s="35" t="str">
        <x:v>CST</x:v>
      </x:c>
      <x:c r="C13" s="35" t="str">
        <x:v>女主帘后目击</x:v>
      </x:c>
      <x:c r="D13" s="35" t="str">
        <x:v>P1</x:v>
      </x:c>
      <x:c r="E13" s="35" t="str">
        <x:v>23</x:v>
      </x:c>
      <x:c r="F13" s="35" t="str">
        <x:v>晚明江南城市女性；18—23岁；窄袖上衣、长裙与木构帘影</x:v>
      </x:c>
      <x:c r="G13" s="35" t="str">
        <x:v>继承女主基础身份的独立状态变体</x:v>
      </x:c>
      <x:c r="H13" s="35" t="str">
        <x:v>建议采用</x:v>
      </x:c>
      <x:c r="I13" s="35" t="str">
        <x:v>随对应P0资产或第二批生产包制作</x:v>
      </x:c>
    </x:row>
    <x:row r="14" ht="42" customHeight="1">
      <x:c r="A14" s="35" t="str">
        <x:v>ASR-CST-P1-006-女主妒恨执簪</x:v>
      </x:c>
      <x:c r="B14" s="35" t="str">
        <x:v>CST</x:v>
      </x:c>
      <x:c r="C14" s="35" t="str">
        <x:v>女主妒恨执簪</x:v>
      </x:c>
      <x:c r="D14" s="35" t="str">
        <x:v>P1</x:v>
      </x:c>
      <x:c r="E14" s="35" t="str">
        <x:v>24</x:v>
      </x:c>
      <x:c r="F14" s="35" t="str">
        <x:v>西汉成帝后期高等级宫廷女性；28—35岁生产范围；不妖妃化</x:v>
      </x:c>
      <x:c r="G14" s="35" t="str">
        <x:v>继承女主基础身份的独立状态变体</x:v>
      </x:c>
      <x:c r="H14" s="35" t="str">
        <x:v>建议采用</x:v>
      </x:c>
      <x:c r="I14" s="35" t="str">
        <x:v>随对应P0资产或第二批生产包制作</x:v>
      </x:c>
    </x:row>
    <x:row r="15" ht="42" customHeight="1">
      <x:c r="A15" s="35" t="str">
        <x:v>ASR-CST-P1-007-女主宫廷掌权</x:v>
      </x:c>
      <x:c r="B15" s="35" t="str">
        <x:v>CST</x:v>
      </x:c>
      <x:c r="C15" s="35" t="str">
        <x:v>女主宫廷掌权</x:v>
      </x:c>
      <x:c r="D15" s="35" t="str">
        <x:v>P1</x:v>
      </x:c>
      <x:c r="E15" s="35" t="str">
        <x:v>25</x:v>
      </x:c>
      <x:c r="F15" s="35" t="str">
        <x:v>7世纪末女性最高统治者；66岁；洛阳明堂权力空间</x:v>
      </x:c>
      <x:c r="G15" s="35" t="str">
        <x:v>继承女主基础身份的独立状态变体</x:v>
      </x:c>
      <x:c r="H15" s="35" t="str">
        <x:v>建议采用</x:v>
      </x:c>
      <x:c r="I15" s="35" t="str">
        <x:v>随对应P0资产或第二批生产包制作</x:v>
      </x:c>
    </x:row>
    <x:row r="16" ht="42" customHeight="1">
      <x:c r="A16" s="35" t="str">
        <x:v>ASR-CST-P1-008-女主冷静报复</x:v>
      </x:c>
      <x:c r="B16" s="35" t="str">
        <x:v>CST</x:v>
      </x:c>
      <x:c r="C16" s="35" t="str">
        <x:v>女主冷静报复</x:v>
      </x:c>
      <x:c r="D16" s="35" t="str">
        <x:v>P1</x:v>
      </x:c>
      <x:c r="E16" s="35" t="str">
        <x:v>26</x:v>
      </x:c>
      <x:c r="F16" s="35" t="str">
        <x:v>西汉初皇太后掌权期；45—50岁生产范围</x:v>
      </x:c>
      <x:c r="G16" s="35" t="str">
        <x:v>继承女主基础身份的独立状态变体</x:v>
      </x:c>
      <x:c r="H16" s="35" t="str">
        <x:v>建议采用</x:v>
      </x:c>
      <x:c r="I16" s="35" t="str">
        <x:v>随对应P0资产或第二批生产包制作</x:v>
      </x:c>
    </x:row>
    <x:row r="17" ht="42" customHeight="1">
      <x:c r="A17" s="35" t="str">
        <x:v>ASR-CST-P1-009-女主反噬失去</x:v>
      </x:c>
      <x:c r="B17" s="35" t="str">
        <x:v>CST</x:v>
      </x:c>
      <x:c r="C17" s="35" t="str">
        <x:v>女主反噬失去</x:v>
      </x:c>
      <x:c r="D17" s="35" t="str">
        <x:v>P1</x:v>
      </x:c>
      <x:c r="E17" s="35" t="str">
        <x:v>27</x:v>
      </x:c>
      <x:c r="F17" s="35" t="str">
        <x:v>盛唐756年驿站终局；37岁；尘土暑热与军队压力</x:v>
      </x:c>
      <x:c r="G17" s="35" t="str">
        <x:v>继承女主基础身份的独立状态变体</x:v>
      </x:c>
      <x:c r="H17" s="35" t="str">
        <x:v>建议采用</x:v>
      </x:c>
      <x:c r="I17" s="35" t="str">
        <x:v>随对应P0资产或第二批生产包制作</x:v>
      </x:c>
    </x:row>
    <x:row r="18" ht="42" customHeight="1">
      <x:c r="A18" s="35" t="str">
        <x:v>ASR-CST-P1-010-女主白绫末路</x:v>
      </x:c>
      <x:c r="B18" s="35" t="str">
        <x:v>CST</x:v>
      </x:c>
      <x:c r="C18" s="35" t="str">
        <x:v>女主白绫末路</x:v>
      </x:c>
      <x:c r="D18" s="35" t="str">
        <x:v>P1</x:v>
      </x:c>
      <x:c r="E18" s="35" t="str">
        <x:v>28</x:v>
      </x:c>
      <x:c r="F18" s="35" t="str">
        <x:v>西汉前91年宫廷终局；50—60岁生产范围；白绫仅象征</x:v>
      </x:c>
      <x:c r="G18" s="35" t="str">
        <x:v>继承女主基础身份的独立状态变体</x:v>
      </x:c>
      <x:c r="H18" s="35" t="str">
        <x:v>建议采用</x:v>
      </x:c>
      <x:c r="I18" s="35" t="str">
        <x:v>随对应P0资产或第二批生产包制作</x:v>
      </x:c>
    </x:row>
    <x:row r="19" ht="42" customHeight="1">
      <x:c r="A19" s="35" t="str">
        <x:v>ASR-CST-P1-011-女主流放长路</x:v>
      </x:c>
      <x:c r="B19" s="35" t="str">
        <x:v>CST</x:v>
      </x:c>
      <x:c r="C19" s="35" t="str">
        <x:v>女主流放长路</x:v>
      </x:c>
      <x:c r="D19" s="35" t="str">
        <x:v>P1</x:v>
      </x:c>
      <x:c r="E19" s="35" t="str">
        <x:v>28</x:v>
      </x:c>
      <x:c r="F19" s="35" t="str">
        <x:v>东汉207年胡汉归途；30—38岁；胡汉混合服装</x:v>
      </x:c>
      <x:c r="G19" s="35" t="str">
        <x:v>继承女主基础身份的独立状态变体</x:v>
      </x:c>
      <x:c r="H19" s="35" t="str">
        <x:v>建议采用</x:v>
      </x:c>
      <x:c r="I19" s="35" t="str">
        <x:v>随对应P0资产或第二批生产包制作</x:v>
      </x:c>
    </x:row>
    <x:row r="20" ht="42" customHeight="1">
      <x:c r="A20" s="35" t="str">
        <x:v>ASR-CST-P1-012-女主刀锋临身</x:v>
      </x:c>
      <x:c r="B20" s="35" t="str">
        <x:v>CST</x:v>
      </x:c>
      <x:c r="C20" s="35" t="str">
        <x:v>女主刀锋临身</x:v>
      </x:c>
      <x:c r="D20" s="35" t="str">
        <x:v>P1</x:v>
      </x:c>
      <x:c r="E20" s="35" t="str">
        <x:v>28</x:v>
      </x:c>
      <x:c r="F20" s="35" t="str">
        <x:v>清初1643年皇位危机；30岁；刀锋仅象征政治危险</x:v>
      </x:c>
      <x:c r="G20" s="35" t="str">
        <x:v>继承女主基础身份的独立状态变体</x:v>
      </x:c>
      <x:c r="H20" s="35" t="str">
        <x:v>建议采用</x:v>
      </x:c>
      <x:c r="I20" s="35" t="str">
        <x:v>随对应P0资产或第二批生产包制作</x:v>
      </x:c>
    </x:row>
    <x:row r="21" ht="42" customHeight="1">
      <x:c r="A21" s="35" t="str">
        <x:v>ASR-CST-P1-013-女主千夫所指</x:v>
      </x:c>
      <x:c r="B21" s="35" t="str">
        <x:v>CST</x:v>
      </x:c>
      <x:c r="C21" s="35" t="str">
        <x:v>女主千夫所指</x:v>
      </x:c>
      <x:c r="D21" s="35" t="str">
        <x:v>P1</x:v>
      </x:c>
      <x:c r="E21" s="35" t="str">
        <x:v>28</x:v>
      </x:c>
      <x:c r="F21" s="35" t="str">
        <x:v>中晚唐女性入道状态；24—32岁；道袍、冠巾与道观庭院</x:v>
      </x:c>
      <x:c r="G21" s="35" t="str">
        <x:v>继承女主基础身份的独立状态变体</x:v>
      </x:c>
      <x:c r="H21" s="35" t="str">
        <x:v>建议采用</x:v>
      </x:c>
      <x:c r="I21" s="35" t="str">
        <x:v>随对应P0资产或第二批生产包制作</x:v>
      </x:c>
    </x:row>
    <x:row r="22" ht="42" customHeight="1">
      <x:c r="A22" s="35" t="str">
        <x:v>ASR-CST-P0-014-女主佛前归来</x:v>
      </x:c>
      <x:c r="B22" s="35" t="str">
        <x:v>CST</x:v>
      </x:c>
      <x:c r="C22" s="35" t="str">
        <x:v>女主佛前归来</x:v>
      </x:c>
      <x:c r="D22" s="35" t="str">
        <x:v>P0</x:v>
      </x:c>
      <x:c r="E22" s="35" t="str">
        <x:v>29</x:v>
      </x:c>
      <x:c r="F22" s="35" t="str">
        <x:v>恢复佛国20—22岁外观；接叶、轻笑、合掌；叶片完好</x:v>
      </x:c>
      <x:c r="G22" s="35" t="str">
        <x:v>继承女主基础身份的独立状态变体</x:v>
      </x:c>
      <x:c r="H22" s="35" t="str">
        <x:v>建议采用</x:v>
      </x:c>
      <x:c r="I22" s="35" t="str">
        <x:v>进入第一批或随P0共同依赖包制作；先验证后批量</x:v>
      </x:c>
    </x:row>
  </x:sheetData>
  <x:mergeCells>
    <x:mergeCell ref="A1:I1"/>
    <x:mergeCell ref="A2:I2"/>
  </x:mergeCells>
  <x:conditionalFormatting sqref="D5:D22">
    <x:cfRule type="containsText" dxfId="3" priority="1" operator="containsText" text="P0"/>
  </x:conditionalFormatting>
  <x:pageMargins left="0.7" right="0.7" top="0.75" bottom="0.75" header="0.3" footer="0.3"/>
  <x:tableParts count="1">
    <x:tablePart xmlns:r="http://schemas.openxmlformats.org/officeDocument/2006/relationships" r:id="Rbb7f1f8d61f140e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0" hidden="0" customWidth="1"/>
    <x:col min="3" max="3" width="24" hidden="0" customWidth="1"/>
    <x:col min="4" max="4" width="8" hidden="0" customWidth="1"/>
    <x:col min="5" max="5" width="18" hidden="0" customWidth="1"/>
    <x:col min="6" max="6" width="38" hidden="0" customWidth="1"/>
    <x:col min="7" max="7" width="30" hidden="0" customWidth="1"/>
    <x:col min="8" max="8" width="16" hidden="0" customWidth="1"/>
    <x:col min="9" max="9" width="34" hidden="0" customWidth="1"/>
  </x:cols>
  <x:sheetData>
    <x:row r="1" ht="30" customHeight="1">
      <x:c r="A1" s="19" t="str">
        <x:v>人物与群体声音资产</x:v>
      </x:c>
      <x:c r="B1" s="19"/>
      <x:c r="C1" s="19"/>
      <x:c r="D1" s="19"/>
      <x:c r="E1" s="19"/>
      <x:c r="F1" s="19"/>
      <x:c r="G1" s="19"/>
      <x:c r="H1" s="19"/>
      <x:c r="I1" s="19"/>
    </x:row>
    <x:row r="2" ht="22" customHeight="1">
      <x:c r="A2" s="6" t="str">
        <x:v>《阿修罗》阶段1｜v1.0（正式锁定版）｜生成日期 2026-07-12</x:v>
      </x:c>
      <x:c r="B2" s="6"/>
      <x:c r="C2" s="6"/>
      <x:c r="D2" s="6"/>
      <x:c r="E2" s="6"/>
      <x:c r="F2" s="6"/>
      <x:c r="G2" s="6"/>
      <x:c r="H2" s="6"/>
      <x:c r="I2" s="6"/>
    </x:row>
    <x:row r="4" ht="30" customHeight="1">
      <x:c r="A4" s="31" t="str">
        <x:v>生产资产ID</x:v>
      </x:c>
      <x:c r="B4" s="32" t="str">
        <x:v>类型</x:v>
      </x:c>
      <x:c r="C4" s="32" t="str">
        <x:v>资产名称</x:v>
      </x:c>
      <x:c r="D4" s="32" t="str">
        <x:v>级别</x:v>
      </x:c>
      <x:c r="E4" s="32" t="str">
        <x:v>剧本出处</x:v>
      </x:c>
      <x:c r="F4" s="32" t="str">
        <x:v>设计摘要</x:v>
      </x:c>
      <x:c r="G4" s="32" t="str">
        <x:v>状态/变体</x:v>
      </x:c>
      <x:c r="H4" s="32" t="str">
        <x:v>确认状态</x:v>
      </x:c>
      <x:c r="I4" s="33" t="str">
        <x:v>阶段2建议</x:v>
      </x:c>
    </x:row>
    <x:row r="5" ht="42" customHeight="1">
      <x:c r="A5" s="34" t="str">
        <x:v>ASR-VOI-P0-001-女主千年同声纹</x:v>
      </x:c>
      <x:c r="B5" s="34" t="str">
        <x:v>VOI</x:v>
      </x:c>
      <x:c r="C5" s="34" t="str">
        <x:v>女主千年同声纹</x:v>
      </x:c>
      <x:c r="D5" s="34" t="str">
        <x:v>P0</x:v>
      </x:c>
      <x:c r="E5" s="34" t="str">
        <x:v>05、10、19、29、30</x:v>
      </x:c>
      <x:c r="F5" s="34" t="str">
        <x:v>中低至中音域，清冷克制；VO与轻口型同声纹</x:v>
      </x:c>
      <x:c r="G5" s="34" t="str">
        <x:v>按资产卡要求生成基础态与必要关系切片</x:v>
      </x:c>
      <x:c r="H5" s="34" t="str">
        <x:v>待外部回流</x:v>
      </x:c>
      <x:c r="I5" s="34" t="str">
        <x:v>进入第一批或随P0共同依赖包制作；先验证后批量</x:v>
      </x:c>
    </x:row>
    <x:row r="6" ht="42" customHeight="1">
      <x:c r="A6" s="35" t="str">
        <x:v>ASR-VOI-P1-002-佛远讲经声</x:v>
      </x:c>
      <x:c r="B6" s="35" t="str">
        <x:v>VOI</x:v>
      </x:c>
      <x:c r="C6" s="35" t="str">
        <x:v>佛远讲经声</x:v>
      </x:c>
      <x:c r="D6" s="35" t="str">
        <x:v>P1</x:v>
      </x:c>
      <x:c r="E6" s="35" t="str">
        <x:v>07、11</x:v>
      </x:c>
      <x:c r="F6" s="35" t="str">
        <x:v>Seedance镜头Prompt原生生成；不单独制作音频资产；只听节律不清句子</x:v>
      </x:c>
      <x:c r="G6" s="35" t="str">
        <x:v>按资产卡要求生成基础态与必要关系切片</x:v>
      </x:c>
      <x:c r="H6" s="35" t="str">
        <x:v>镜头Prompt控制</x:v>
      </x:c>
      <x:c r="I6" s="35" t="str">
        <x:v>随对应P0资产或第二批生产包制作</x:v>
      </x:c>
    </x:row>
    <x:row r="7" ht="42" customHeight="1">
      <x:c r="A7" s="35" t="str">
        <x:v>ASR-VOI-P1-003-众声低诵与问句</x:v>
      </x:c>
      <x:c r="B7" s="35" t="str">
        <x:v>VOI</x:v>
      </x:c>
      <x:c r="C7" s="35" t="str">
        <x:v>众声低诵与问句</x:v>
      </x:c>
      <x:c r="D7" s="35" t="str">
        <x:v>P1</x:v>
      </x:c>
      <x:c r="E7" s="35" t="str">
        <x:v>28-29</x:v>
      </x:c>
      <x:c r="F7" s="35" t="str">
        <x:v>Seedance镜头Prompt原生生成；不单独制作音频资产；失败时后期替换</x:v>
      </x:c>
      <x:c r="G7" s="35" t="str">
        <x:v>按资产卡要求生成基础态与必要关系切片</x:v>
      </x:c>
      <x:c r="H7" s="35" t="str">
        <x:v>镜头Prompt控制</x:v>
      </x:c>
      <x:c r="I7" s="35" t="str">
        <x:v>随对应P0资产或第二批生产包制作</x:v>
      </x:c>
    </x:row>
  </x:sheetData>
  <x:mergeCells>
    <x:mergeCell ref="A1:I1"/>
    <x:mergeCell ref="A2:I2"/>
  </x:mergeCells>
  <x:conditionalFormatting sqref="D5:D7">
    <x:cfRule type="containsText" dxfId="4" priority="1" operator="containsText" text="P0"/>
  </x:conditionalFormatting>
  <x:pageMargins left="0.7" right="0.7" top="0.75" bottom="0.75" header="0.3" footer="0.3"/>
  <x:tableParts count="1">
    <x:tablePart xmlns:r="http://schemas.openxmlformats.org/officeDocument/2006/relationships" r:id="Rcb0a7846ed55429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0" hidden="0" customWidth="1"/>
    <x:col min="3" max="3" width="24" hidden="0" customWidth="1"/>
    <x:col min="4" max="4" width="8" hidden="0" customWidth="1"/>
    <x:col min="5" max="5" width="18" hidden="0" customWidth="1"/>
    <x:col min="6" max="6" width="38" hidden="0" customWidth="1"/>
    <x:col min="7" max="7" width="30" hidden="0" customWidth="1"/>
    <x:col min="8" max="8" width="16" hidden="0" customWidth="1"/>
    <x:col min="9" max="9" width="34" hidden="0" customWidth="1"/>
  </x:cols>
  <x:sheetData>
    <x:row r="1" ht="30" customHeight="1">
      <x:c r="A1" s="19" t="str">
        <x:v>场景与地点资产</x:v>
      </x:c>
      <x:c r="B1" s="19"/>
      <x:c r="C1" s="19"/>
      <x:c r="D1" s="19"/>
      <x:c r="E1" s="19"/>
      <x:c r="F1" s="19"/>
      <x:c r="G1" s="19"/>
      <x:c r="H1" s="19"/>
      <x:c r="I1" s="19"/>
    </x:row>
    <x:row r="2" ht="22" customHeight="1">
      <x:c r="A2" s="6" t="str">
        <x:v>《阿修罗》阶段1｜v1.0（正式锁定版）｜生成日期 2026-07-12</x:v>
      </x:c>
      <x:c r="B2" s="6"/>
      <x:c r="C2" s="6"/>
      <x:c r="D2" s="6"/>
      <x:c r="E2" s="6"/>
      <x:c r="F2" s="6"/>
      <x:c r="G2" s="6"/>
      <x:c r="H2" s="6"/>
      <x:c r="I2" s="6"/>
    </x:row>
    <x:row r="4" ht="30" customHeight="1">
      <x:c r="A4" s="31" t="str">
        <x:v>生产资产ID</x:v>
      </x:c>
      <x:c r="B4" s="32" t="str">
        <x:v>类型</x:v>
      </x:c>
      <x:c r="C4" s="32" t="str">
        <x:v>资产名称</x:v>
      </x:c>
      <x:c r="D4" s="32" t="str">
        <x:v>级别</x:v>
      </x:c>
      <x:c r="E4" s="32" t="str">
        <x:v>剧本出处</x:v>
      </x:c>
      <x:c r="F4" s="32" t="str">
        <x:v>设计摘要</x:v>
      </x:c>
      <x:c r="G4" s="32" t="str">
        <x:v>状态/变体</x:v>
      </x:c>
      <x:c r="H4" s="32" t="str">
        <x:v>确认状态</x:v>
      </x:c>
      <x:c r="I4" s="33" t="str">
        <x:v>阶段2建议</x:v>
      </x:c>
    </x:row>
    <x:row r="5" ht="42" customHeight="1">
      <x:c r="A5" s="34" t="str">
        <x:v>ASR-SCN-P0-001-佛国远山寺宇</x:v>
      </x:c>
      <x:c r="B5" s="34" t="str">
        <x:v>SCN</x:v>
      </x:c>
      <x:c r="C5" s="34" t="str">
        <x:v>佛国远山寺宇</x:v>
      </x:c>
      <x:c r="D5" s="34" t="str">
        <x:v>P0</x:v>
      </x:c>
      <x:c r="E5" s="34" t="str">
        <x:v>02、18</x:v>
      </x:c>
      <x:c r="F5" s="34" t="str">
        <x:v>真实山雾与低对比寺宇；天空占大部；无仙境神迹</x:v>
      </x:c>
      <x:c r="G5" s="34" t="str">
        <x:v>按资产卡要求生成基础态与必要关系切片</x:v>
      </x:c>
      <x:c r="H5" s="34" t="str">
        <x:v>生产策略已锁定</x:v>
      </x:c>
      <x:c r="I5" s="34" t="str">
        <x:v>进入第一批或随P0共同依赖包制作；先验证后批量</x:v>
      </x:c>
    </x:row>
    <x:row r="6" ht="42" customHeight="1">
      <x:c r="A6" s="35" t="str">
        <x:v>ASR-SCN-P0-002-殿内修行空间</x:v>
      </x:c>
      <x:c r="B6" s="35" t="str">
        <x:v>SCN</x:v>
      </x:c>
      <x:c r="C6" s="35" t="str">
        <x:v>殿内修行空间</x:v>
      </x:c>
      <x:c r="D6" s="35" t="str">
        <x:v>P0</x:v>
      </x:c>
      <x:c r="E6" s="35" t="str">
        <x:v>03-05、10-13、15、17-19</x:v>
      </x:c>
      <x:c r="F6" s="35" t="str">
        <x:v>女主偏后、比丘尼前侧、殿门通庭院；固定客观轴线</x:v>
      </x:c>
      <x:c r="G6" s="35" t="str">
        <x:v>按资产卡要求生成基础态与必要关系切片</x:v>
      </x:c>
      <x:c r="H6" s="35" t="str">
        <x:v>生产策略已锁定</x:v>
      </x:c>
      <x:c r="I6" s="35" t="str">
        <x:v>进入第一批或随P0共同依赖包制作；先验证后批量</x:v>
      </x:c>
    </x:row>
    <x:row r="7" ht="42" customHeight="1">
      <x:c r="A7" s="35" t="str">
        <x:v>ASR-SCN-P0-003-殿门庭院树下讲经一体场景</x:v>
      </x:c>
      <x:c r="B7" s="35" t="str">
        <x:v>SCN</x:v>
      </x:c>
      <x:c r="C7" s="35" t="str">
        <x:v>殿门庭院树下讲经一体场景</x:v>
      </x:c>
      <x:c r="D7" s="35" t="str">
        <x:v>P0</x:v>
      </x:c>
      <x:c r="E7" s="35" t="str">
        <x:v>06-08、11、14-16、18</x:v>
      </x:c>
      <x:c r="F7" s="35" t="str">
        <x:v>门槛、庭院、树、讲经区与远山沿同一空间轴线</x:v>
      </x:c>
      <x:c r="G7" s="35" t="str">
        <x:v>按资产卡要求生成基础态与必要关系切片</x:v>
      </x:c>
      <x:c r="H7" s="35" t="str">
        <x:v>生产策略已锁定</x:v>
      </x:c>
      <x:c r="I7" s="35" t="str">
        <x:v>进入第一批或随P0共同依赖包制作；先验证后批量</x:v>
      </x:c>
    </x:row>
    <x:row r="8" ht="42" customHeight="1">
      <x:c r="A8" s="35" t="str">
        <x:v>ASR-SCN-P1-004-黑暗掌心空间</x:v>
      </x:c>
      <x:c r="B8" s="35" t="str">
        <x:v>SCN</x:v>
      </x:c>
      <x:c r="C8" s="35" t="str">
        <x:v>黑暗掌心空间</x:v>
      </x:c>
      <x:c r="D8" s="35" t="str">
        <x:v>P1</x:v>
      </x:c>
      <x:c r="E8" s="35" t="str">
        <x:v>19</x:v>
      </x:c>
      <x:c r="F8" s="35" t="str">
        <x:v>近黑，只读出手、念珠和极弱反光</x:v>
      </x:c>
      <x:c r="G8" s="35" t="str">
        <x:v>按资产卡要求生成基础态与必要关系切片</x:v>
      </x:c>
      <x:c r="H8" s="35" t="str">
        <x:v>生产策略已锁定</x:v>
      </x:c>
      <x:c r="I8" s="35" t="str">
        <x:v>随对应P0资产或第二批生产包制作</x:v>
      </x:c>
    </x:row>
    <x:row r="9" ht="42" customHeight="1">
      <x:c r="A9" s="35" t="str">
        <x:v>ASR-SCN-P1-005-王府深院</x:v>
      </x:c>
      <x:c r="B9" s="35" t="str">
        <x:v>SCN</x:v>
      </x:c>
      <x:c r="C9" s="35" t="str">
        <x:v>王府深院</x:v>
      </x:c>
      <x:c r="D9" s="35" t="str">
        <x:v>P1</x:v>
      </x:c>
      <x:c r="E9" s="35" t="str">
        <x:v>21</x:v>
      </x:c>
      <x:c r="F9" s="35" t="str">
        <x:v>人群边缘与越众目光方向明确</x:v>
      </x:c>
      <x:c r="G9" s="35" t="str">
        <x:v>按资产卡要求生成基础态与必要关系切片</x:v>
      </x:c>
      <x:c r="H9" s="35" t="str">
        <x:v>生产策略已锁定</x:v>
      </x:c>
      <x:c r="I9" s="35" t="str">
        <x:v>随对应P0资产或第二批生产包制作</x:v>
      </x:c>
    </x:row>
    <x:row r="10" ht="42" customHeight="1">
      <x:c r="A10" s="35" t="str">
        <x:v>ASR-SCN-P1-006-灯下内室</x:v>
      </x:c>
      <x:c r="B10" s="35" t="str">
        <x:v>SCN</x:v>
      </x:c>
      <x:c r="C10" s="35" t="str">
        <x:v>灯下内室</x:v>
      </x:c>
      <x:c r="D10" s="35" t="str">
        <x:v>P1</x:v>
      </x:c>
      <x:c r="E10" s="35" t="str">
        <x:v>22</x:v>
      </x:c>
      <x:c r="F10" s="35" t="str">
        <x:v>手部相握与不完整人影；亲密而克制</x:v>
      </x:c>
      <x:c r="G10" s="35" t="str">
        <x:v>按资产卡要求生成基础态与必要关系切片</x:v>
      </x:c>
      <x:c r="H10" s="35" t="str">
        <x:v>生产策略已锁定</x:v>
      </x:c>
      <x:c r="I10" s="35" t="str">
        <x:v>随对应P0资产或第二批生产包制作</x:v>
      </x:c>
    </x:row>
    <x:row r="11" ht="42" customHeight="1">
      <x:c r="A11" s="35" t="str">
        <x:v>ASR-SCN-P1-007-帘后目击空间</x:v>
      </x:c>
      <x:c r="B11" s="35" t="str">
        <x:v>SCN</x:v>
      </x:c>
      <x:c r="C11" s="35" t="str">
        <x:v>帘后目击空间</x:v>
      </x:c>
      <x:c r="D11" s="35" t="str">
        <x:v>P1</x:v>
      </x:c>
      <x:c r="E11" s="35" t="str">
        <x:v>23</x:v>
      </x:c>
      <x:c r="F11" s="35" t="str">
        <x:v>帘影分隔女主与递簪动作；正反方向明确</x:v>
      </x:c>
      <x:c r="G11" s="35" t="str">
        <x:v>按资产卡要求生成基础态与必要关系切片</x:v>
      </x:c>
      <x:c r="H11" s="35" t="str">
        <x:v>生产策略已锁定</x:v>
      </x:c>
      <x:c r="I11" s="35" t="str">
        <x:v>随对应P0资产或第二批生产包制作</x:v>
      </x:c>
    </x:row>
    <x:row r="12" ht="42" customHeight="1">
      <x:c r="A12" s="35" t="str">
        <x:v>ASR-SCN-P1-008-宫廷垂帘大殿</x:v>
      </x:c>
      <x:c r="B12" s="35" t="str">
        <x:v>SCN</x:v>
      </x:c>
      <x:c r="C12" s="35" t="str">
        <x:v>宫廷垂帘大殿</x:v>
      </x:c>
      <x:c r="D12" s="35" t="str">
        <x:v>P1</x:v>
      </x:c>
      <x:c r="E12" s="35" t="str">
        <x:v>25-26</x:v>
      </x:c>
      <x:c r="F12" s="35" t="str">
        <x:v>高位、垂帘、群臣和通道形成真实尺度</x:v>
      </x:c>
      <x:c r="G12" s="35" t="str">
        <x:v>按资产卡要求生成基础态与必要关系切片</x:v>
      </x:c>
      <x:c r="H12" s="35" t="str">
        <x:v>生产策略已锁定</x:v>
      </x:c>
      <x:c r="I12" s="35" t="str">
        <x:v>随对应P0资产或第二批生产包制作</x:v>
      </x:c>
    </x:row>
    <x:row r="13" ht="42" customHeight="1">
      <x:c r="A13" s="35" t="str">
        <x:v>ASR-SCN-P1-009-盛唐驿站终局空间</x:v>
      </x:c>
      <x:c r="B13" s="35" t="str">
        <x:v>SCN</x:v>
      </x:c>
      <x:c r="C13" s="35" t="str">
        <x:v>盛唐驿站终局空间</x:v>
      </x:c>
      <x:c r="D13" s="35" t="str">
        <x:v>P1</x:v>
      </x:c>
      <x:c r="E13" s="35" t="str">
        <x:v>27</x:v>
      </x:c>
      <x:c r="F13" s="35" t="str">
        <x:v>驿站、军队压力和出口方向明确；尘土暑热，不使用风雪</x:v>
      </x:c>
      <x:c r="G13" s="35" t="str">
        <x:v>按资产卡要求生成基础态与必要关系切片</x:v>
      </x:c>
      <x:c r="H13" s="35" t="str">
        <x:v>生产策略已锁定</x:v>
      </x:c>
      <x:c r="I13" s="35" t="str">
        <x:v>随对应P0资产或第二批生产包制作</x:v>
      </x:c>
    </x:row>
    <x:row r="14" ht="42" customHeight="1">
      <x:c r="A14" s="35" t="str">
        <x:v>ASR-SCN-P1-010-风雪反噬空间</x:v>
      </x:c>
      <x:c r="B14" s="35" t="str">
        <x:v>SCN</x:v>
      </x:c>
      <x:c r="C14" s="35" t="str">
        <x:v>风雪反噬空间</x:v>
      </x:c>
      <x:c r="D14" s="35" t="str">
        <x:v>P1</x:v>
      </x:c>
      <x:c r="E14" s="35" t="str">
        <x:v>27</x:v>
      </x:c>
      <x:c r="F14" s="35" t="str">
        <x:v>风雪与火光短促叠化环境</x:v>
      </x:c>
      <x:c r="G14" s="35" t="str">
        <x:v>按资产卡要求生成基础态与必要关系切片</x:v>
      </x:c>
      <x:c r="H14" s="35" t="str">
        <x:v>生产策略已锁定</x:v>
      </x:c>
      <x:c r="I14" s="35" t="str">
        <x:v>随对应P0资产或第二批生产包制作</x:v>
      </x:c>
    </x:row>
    <x:row r="15" ht="42" customHeight="1">
      <x:c r="A15" s="35" t="str">
        <x:v>ASR-SCN-P2-011-空床内室</x:v>
      </x:c>
      <x:c r="B15" s="35" t="str">
        <x:v>SCN</x:v>
      </x:c>
      <x:c r="C15" s="35" t="str">
        <x:v>空床内室</x:v>
      </x:c>
      <x:c r="D15" s="35" t="str">
        <x:v>P2</x:v>
      </x:c>
      <x:c r="E15" s="35" t="str">
        <x:v>27</x:v>
      </x:c>
      <x:c r="F15" s="35" t="str">
        <x:v>单一空床，冷暗无人，短促叠化</x:v>
      </x:c>
      <x:c r="G15" s="35" t="str">
        <x:v>按资产卡要求生成基础态与必要关系切片</x:v>
      </x:c>
      <x:c r="H15" s="35" t="str">
        <x:v>生产策略已锁定</x:v>
      </x:c>
      <x:c r="I15" s="35" t="str">
        <x:v>主资产通过后按镜头缺口后置制作</x:v>
      </x:c>
    </x:row>
    <x:row r="16" ht="42" customHeight="1">
      <x:c r="A16" s="35" t="str">
        <x:v>ASR-SCN-P0-012-佛前归来空间状态</x:v>
      </x:c>
      <x:c r="B16" s="35" t="str">
        <x:v>SCN</x:v>
      </x:c>
      <x:c r="C16" s="35" t="str">
        <x:v>佛前归来空间状态</x:v>
      </x:c>
      <x:c r="D16" s="35" t="str">
        <x:v>P0</x:v>
      </x:c>
      <x:c r="E16" s="35" t="str">
        <x:v>29</x:v>
      </x:c>
      <x:c r="F16" s="35" t="str">
        <x:v>复用佛国庭院骨架；只重做听众剪影、人物占位与光影</x:v>
      </x:c>
      <x:c r="G16" s="35" t="str">
        <x:v>按资产卡要求生成基础态与必要关系切片</x:v>
      </x:c>
      <x:c r="H16" s="35" t="str">
        <x:v>生产策略已锁定</x:v>
      </x:c>
      <x:c r="I16" s="35" t="str">
        <x:v>进入第一批或随P0共同依赖包制作；先验证后批量</x:v>
      </x:c>
    </x:row>
    <x:row r="17" ht="42" customHeight="1">
      <x:c r="A17" s="35" t="str">
        <x:v>ASR-SCN-P2-013-流放长路</x:v>
      </x:c>
      <x:c r="B17" s="35" t="str">
        <x:v>SCN</x:v>
      </x:c>
      <x:c r="C17" s="35" t="str">
        <x:v>流放长路</x:v>
      </x:c>
      <x:c r="D17" s="35" t="str">
        <x:v>P2</x:v>
      </x:c>
      <x:c r="E17" s="35" t="str">
        <x:v>28</x:v>
      </x:c>
      <x:c r="F17" s="35" t="str">
        <x:v>风尘长路、低细节远景、短曝光</x:v>
      </x:c>
      <x:c r="G17" s="35" t="str">
        <x:v>按资产卡要求生成基础态与必要关系切片</x:v>
      </x:c>
      <x:c r="H17" s="35" t="str">
        <x:v>生产策略已锁定</x:v>
      </x:c>
      <x:c r="I17" s="35" t="str">
        <x:v>主资产通过后按镜头缺口后置制作</x:v>
      </x:c>
    </x:row>
  </x:sheetData>
  <x:mergeCells>
    <x:mergeCell ref="A1:I1"/>
    <x:mergeCell ref="A2:I2"/>
  </x:mergeCells>
  <x:conditionalFormatting sqref="D5:D17">
    <x:cfRule type="containsText" dxfId="5" priority="1" operator="containsText" text="P0"/>
  </x:conditionalFormatting>
  <x:pageMargins left="0.7" right="0.7" top="0.75" bottom="0.75" header="0.3" footer="0.3"/>
  <x:tableParts count="1">
    <x:tablePart xmlns:r="http://schemas.openxmlformats.org/officeDocument/2006/relationships" r:id="R8049a2e688c142e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0" hidden="0" customWidth="1"/>
    <x:col min="3" max="3" width="24" hidden="0" customWidth="1"/>
    <x:col min="4" max="4" width="8" hidden="0" customWidth="1"/>
    <x:col min="5" max="5" width="18" hidden="0" customWidth="1"/>
    <x:col min="6" max="6" width="38" hidden="0" customWidth="1"/>
    <x:col min="7" max="7" width="30" hidden="0" customWidth="1"/>
    <x:col min="8" max="8" width="16" hidden="0" customWidth="1"/>
    <x:col min="9" max="9" width="34" hidden="0" customWidth="1"/>
  </x:cols>
  <x:sheetData>
    <x:row r="1" ht="30" customHeight="1">
      <x:c r="A1" s="19" t="str">
        <x:v>场景光影状态</x:v>
      </x:c>
      <x:c r="B1" s="19"/>
      <x:c r="C1" s="19"/>
      <x:c r="D1" s="19"/>
      <x:c r="E1" s="19"/>
      <x:c r="F1" s="19"/>
      <x:c r="G1" s="19"/>
      <x:c r="H1" s="19"/>
      <x:c r="I1" s="19"/>
    </x:row>
    <x:row r="2" ht="22" customHeight="1">
      <x:c r="A2" s="6" t="str">
        <x:v>《阿修罗》阶段1｜v1.0（正式锁定版）｜生成日期 2026-07-12</x:v>
      </x:c>
      <x:c r="B2" s="6"/>
      <x:c r="C2" s="6"/>
      <x:c r="D2" s="6"/>
      <x:c r="E2" s="6"/>
      <x:c r="F2" s="6"/>
      <x:c r="G2" s="6"/>
      <x:c r="H2" s="6"/>
      <x:c r="I2" s="6"/>
    </x:row>
    <x:row r="4" ht="30" customHeight="1">
      <x:c r="A4" s="31" t="str">
        <x:v>生产资产ID</x:v>
      </x:c>
      <x:c r="B4" s="32" t="str">
        <x:v>类型</x:v>
      </x:c>
      <x:c r="C4" s="32" t="str">
        <x:v>资产名称</x:v>
      </x:c>
      <x:c r="D4" s="32" t="str">
        <x:v>级别</x:v>
      </x:c>
      <x:c r="E4" s="32" t="str">
        <x:v>剧本出处</x:v>
      </x:c>
      <x:c r="F4" s="32" t="str">
        <x:v>设计摘要</x:v>
      </x:c>
      <x:c r="G4" s="32" t="str">
        <x:v>状态/变体</x:v>
      </x:c>
      <x:c r="H4" s="32" t="str">
        <x:v>确认状态</x:v>
      </x:c>
      <x:c r="I4" s="33" t="str">
        <x:v>阶段2建议</x:v>
      </x:c>
    </x:row>
    <x:row r="5" ht="42" customHeight="1">
      <x:c r="A5" s="34" t="str">
        <x:v>ASR-LGT-P0-001-佛国山雾漫射</x:v>
      </x:c>
      <x:c r="B5" s="34" t="str">
        <x:v>LGT</x:v>
      </x:c>
      <x:c r="C5" s="34" t="str">
        <x:v>佛国山雾漫射</x:v>
      </x:c>
      <x:c r="D5" s="34" t="str">
        <x:v>P0</x:v>
      </x:c>
      <x:c r="E5" s="34" t="str">
        <x:v>02、18</x:v>
      </x:c>
      <x:c r="F5" s="34" t="str">
        <x:v>大面积柔和天空光；真实低对比</x:v>
      </x:c>
      <x:c r="G5" s="34" t="str">
        <x:v>所属场景光影变体</x:v>
      </x:c>
      <x:c r="H5" s="34" t="str">
        <x:v>建议采用</x:v>
      </x:c>
      <x:c r="I5" s="34" t="str">
        <x:v>进入第一批或随P0共同依赖包制作；先验证后批量</x:v>
      </x:c>
    </x:row>
    <x:row r="6" ht="42" customHeight="1">
      <x:c r="A6" s="35" t="str">
        <x:v>ASR-LGT-P0-002-殿内光柱边缘</x:v>
      </x:c>
      <x:c r="B6" s="35" t="str">
        <x:v>LGT</x:v>
      </x:c>
      <x:c r="C6" s="35" t="str">
        <x:v>殿内光柱边缘</x:v>
      </x:c>
      <x:c r="D6" s="35" t="str">
        <x:v>P0</x:v>
      </x:c>
      <x:c r="E6" s="35" t="str">
        <x:v>03、06、09-10</x:v>
      </x:c>
      <x:c r="F6" s="35" t="str">
        <x:v>光柱来自殿门；女主处边缘，不使用追光</x:v>
      </x:c>
      <x:c r="G6" s="35" t="str">
        <x:v>所属场景光影变体</x:v>
      </x:c>
      <x:c r="H6" s="35" t="str">
        <x:v>建议采用</x:v>
      </x:c>
      <x:c r="I6" s="35" t="str">
        <x:v>进入第一批或随P0共同依赖包制作；先验证后批量</x:v>
      </x:c>
    </x:row>
    <x:row r="7" ht="42" customHeight="1">
      <x:c r="A7" s="35" t="str">
        <x:v>ASR-LGT-P0-003-庭院树下常态漫射</x:v>
      </x:c>
      <x:c r="B7" s="35" t="str">
        <x:v>LGT</x:v>
      </x:c>
      <x:c r="C7" s="35" t="str">
        <x:v>庭院树下常态漫射</x:v>
      </x:c>
      <x:c r="D7" s="35" t="str">
        <x:v>P0</x:v>
      </x:c>
      <x:c r="E7" s="35" t="str">
        <x:v>07、11、14-16</x:v>
      </x:c>
      <x:c r="F7" s="35" t="str">
        <x:v>佛与听众共享真实环境光</x:v>
      </x:c>
      <x:c r="G7" s="35" t="str">
        <x:v>所属场景光影变体</x:v>
      </x:c>
      <x:c r="H7" s="35" t="str">
        <x:v>建议采用</x:v>
      </x:c>
      <x:c r="I7" s="35" t="str">
        <x:v>进入第一批或随P0共同依赖包制作；先验证后批量</x:v>
      </x:c>
    </x:row>
    <x:row r="8" ht="42" customHeight="1">
      <x:c r="A8" s="35" t="str">
        <x:v>ASR-LGT-P0-004-主观照见窄化光感</x:v>
      </x:c>
      <x:c r="B8" s="35" t="str">
        <x:v>LGT</x:v>
      </x:c>
      <x:c r="C8" s="35" t="str">
        <x:v>主观照见窄化光感</x:v>
      </x:c>
      <x:c r="D8" s="35" t="str">
        <x:v>P0</x:v>
      </x:c>
      <x:c r="E8" s="35" t="str">
        <x:v>08-10</x:v>
      </x:c>
      <x:c r="F8" s="35" t="str">
        <x:v>不改客观光源，只收窄主观可见空间</x:v>
      </x:c>
      <x:c r="G8" s="35" t="str">
        <x:v>所属场景光影变体</x:v>
      </x:c>
      <x:c r="H8" s="35" t="str">
        <x:v>建议采用</x:v>
      </x:c>
      <x:c r="I8" s="35" t="str">
        <x:v>进入第一批或随P0共同依赖包制作；先验证后批量</x:v>
      </x:c>
    </x:row>
    <x:row r="9" ht="42" customHeight="1">
      <x:c r="A9" s="35" t="str">
        <x:v>ASR-LGT-P1-005-黑暗掌心微光</x:v>
      </x:c>
      <x:c r="B9" s="35" t="str">
        <x:v>LGT</x:v>
      </x:c>
      <x:c r="C9" s="35" t="str">
        <x:v>黑暗掌心微光</x:v>
      </x:c>
      <x:c r="D9" s="35" t="str">
        <x:v>P1</x:v>
      </x:c>
      <x:c r="E9" s="35" t="str">
        <x:v>19</x:v>
      </x:c>
      <x:c r="F9" s="35" t="str">
        <x:v>仅读出掌纹、念珠体积与材质</x:v>
      </x:c>
      <x:c r="G9" s="35" t="str">
        <x:v>所属场景光影变体</x:v>
      </x:c>
      <x:c r="H9" s="35" t="str">
        <x:v>建议采用</x:v>
      </x:c>
      <x:c r="I9" s="35" t="str">
        <x:v>随对应P0资产或第二批生产包制作</x:v>
      </x:c>
    </x:row>
    <x:row r="10" ht="42" customHeight="1">
      <x:c r="A10" s="35" t="str">
        <x:v>ASR-LGT-P1-006-王府深院低饱和光</x:v>
      </x:c>
      <x:c r="B10" s="35" t="str">
        <x:v>LGT</x:v>
      </x:c>
      <x:c r="C10" s="35" t="str">
        <x:v>王府深院低饱和光</x:v>
      </x:c>
      <x:c r="D10" s="35" t="str">
        <x:v>P1</x:v>
      </x:c>
      <x:c r="E10" s="35" t="str">
        <x:v>21</x:v>
      </x:c>
      <x:c r="F10" s="35" t="str">
        <x:v>自然环境光；目光不表现为光束</x:v>
      </x:c>
      <x:c r="G10" s="35" t="str">
        <x:v>所属场景光影变体</x:v>
      </x:c>
      <x:c r="H10" s="35" t="str">
        <x:v>建议采用</x:v>
      </x:c>
      <x:c r="I10" s="35" t="str">
        <x:v>随对应P0资产或第二批生产包制作</x:v>
      </x:c>
    </x:row>
    <x:row r="11" ht="42" customHeight="1">
      <x:c r="A11" s="35" t="str">
        <x:v>ASR-LGT-P1-007-灯下短暂柔光</x:v>
      </x:c>
      <x:c r="B11" s="35" t="str">
        <x:v>LGT</x:v>
      </x:c>
      <x:c r="C11" s="35" t="str">
        <x:v>灯下短暂柔光</x:v>
      </x:c>
      <x:c r="D11" s="35" t="str">
        <x:v>P1</x:v>
      </x:c>
      <x:c r="E11" s="35" t="str">
        <x:v>22</x:v>
      </x:c>
      <x:c r="F11" s="35" t="str">
        <x:v>实景灯火短暂柔化肤质，仍低饱和</x:v>
      </x:c>
      <x:c r="G11" s="35" t="str">
        <x:v>所属场景光影变体</x:v>
      </x:c>
      <x:c r="H11" s="35" t="str">
        <x:v>建议采用</x:v>
      </x:c>
      <x:c r="I11" s="35" t="str">
        <x:v>随对应P0资产或第二批生产包制作</x:v>
      </x:c>
    </x:row>
    <x:row r="12" ht="42" customHeight="1">
      <x:c r="A12" s="35" t="str">
        <x:v>ASR-LGT-P1-008-宫廷垂帘高位光</x:v>
      </x:c>
      <x:c r="B12" s="35" t="str">
        <x:v>LGT</x:v>
      </x:c>
      <x:c r="C12" s="35" t="str">
        <x:v>宫廷垂帘高位光</x:v>
      </x:c>
      <x:c r="D12" s="35" t="str">
        <x:v>P1</x:v>
      </x:c>
      <x:c r="E12" s="35" t="str">
        <x:v>25-26</x:v>
      </x:c>
      <x:c r="F12" s="35" t="str">
        <x:v>高位可读、群臣压暗；旧金仅作弱时代色</x:v>
      </x:c>
      <x:c r="G12" s="35" t="str">
        <x:v>所属场景光影变体</x:v>
      </x:c>
      <x:c r="H12" s="35" t="str">
        <x:v>建议采用</x:v>
      </x:c>
      <x:c r="I12" s="35" t="str">
        <x:v>随对应P0资产或第二批生产包制作</x:v>
      </x:c>
    </x:row>
    <x:row r="13" ht="42" customHeight="1">
      <x:c r="A13" s="35" t="str">
        <x:v>ASR-LGT-P1-009-火光风雪叠化</x:v>
      </x:c>
      <x:c r="B13" s="35" t="str">
        <x:v>LGT</x:v>
      </x:c>
      <x:c r="C13" s="35" t="str">
        <x:v>火光风雪叠化</x:v>
      </x:c>
      <x:c r="D13" s="35" t="str">
        <x:v>P1</x:v>
      </x:c>
      <x:c r="E13" s="35" t="str">
        <x:v>27</x:v>
      </x:c>
      <x:c r="F13" s="35" t="str">
        <x:v>真实火光与蓝灰风雪短促交叠</x:v>
      </x:c>
      <x:c r="G13" s="35" t="str">
        <x:v>所属场景光影变体</x:v>
      </x:c>
      <x:c r="H13" s="35" t="str">
        <x:v>建议采用</x:v>
      </x:c>
      <x:c r="I13" s="35" t="str">
        <x:v>随对应P0资产或第二批生产包制作</x:v>
      </x:c>
    </x:row>
    <x:row r="14" ht="42" customHeight="1">
      <x:c r="A14" s="35" t="str">
        <x:v>ASR-LGT-P0-010-佛前归来剪影光</x:v>
      </x:c>
      <x:c r="B14" s="35" t="str">
        <x:v>LGT</x:v>
      </x:c>
      <x:c r="C14" s="35" t="str">
        <x:v>佛前归来剪影光</x:v>
      </x:c>
      <x:c r="D14" s="35" t="str">
        <x:v>P0</x:v>
      </x:c>
      <x:c r="E14" s="35" t="str">
        <x:v>29</x:v>
      </x:c>
      <x:c r="F14" s="35" t="str">
        <x:v>真实逆向环境光形成肩线和听众层次</x:v>
      </x:c>
      <x:c r="G14" s="35" t="str">
        <x:v>所属场景光影变体</x:v>
      </x:c>
      <x:c r="H14" s="35" t="str">
        <x:v>建议采用</x:v>
      </x:c>
      <x:c r="I14" s="35" t="str">
        <x:v>进入第一批或随P0共同依赖包制作；先验证后批量</x:v>
      </x:c>
    </x:row>
  </x:sheetData>
  <x:mergeCells>
    <x:mergeCell ref="A1:I1"/>
    <x:mergeCell ref="A2:I2"/>
  </x:mergeCells>
  <x:conditionalFormatting sqref="D5:D14">
    <x:cfRule type="containsText" dxfId="6" priority="1" operator="containsText" text="P0"/>
  </x:conditionalFormatting>
  <x:pageMargins left="0.7" right="0.7" top="0.75" bottom="0.75" header="0.3" footer="0.3"/>
  <x:tableParts count="1">
    <x:tablePart xmlns:r="http://schemas.openxmlformats.org/officeDocument/2006/relationships" r:id="Rc68fad52e23348b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0" hidden="0" customWidth="1"/>
    <x:col min="3" max="3" width="24" hidden="0" customWidth="1"/>
    <x:col min="4" max="4" width="8" hidden="0" customWidth="1"/>
    <x:col min="5" max="5" width="18" hidden="0" customWidth="1"/>
    <x:col min="6" max="6" width="38" hidden="0" customWidth="1"/>
    <x:col min="7" max="7" width="30" hidden="0" customWidth="1"/>
    <x:col min="8" max="8" width="16" hidden="0" customWidth="1"/>
    <x:col min="9" max="9" width="34" hidden="0" customWidth="1"/>
  </x:cols>
  <x:sheetData>
    <x:row r="1" ht="30" customHeight="1">
      <x:c r="A1" s="19" t="str">
        <x:v>道具资产</x:v>
      </x:c>
      <x:c r="B1" s="19"/>
      <x:c r="C1" s="19"/>
      <x:c r="D1" s="19"/>
      <x:c r="E1" s="19"/>
      <x:c r="F1" s="19"/>
      <x:c r="G1" s="19"/>
      <x:c r="H1" s="19"/>
      <x:c r="I1" s="19"/>
    </x:row>
    <x:row r="2" ht="22" customHeight="1">
      <x:c r="A2" s="6" t="str">
        <x:v>《阿修罗》阶段1｜v1.0（正式锁定版）｜生成日期 2026-07-12</x:v>
      </x:c>
      <x:c r="B2" s="6"/>
      <x:c r="C2" s="6"/>
      <x:c r="D2" s="6"/>
      <x:c r="E2" s="6"/>
      <x:c r="F2" s="6"/>
      <x:c r="G2" s="6"/>
      <x:c r="H2" s="6"/>
      <x:c r="I2" s="6"/>
    </x:row>
    <x:row r="4" ht="30" customHeight="1">
      <x:c r="A4" s="31" t="str">
        <x:v>生产资产ID</x:v>
      </x:c>
      <x:c r="B4" s="32" t="str">
        <x:v>类型</x:v>
      </x:c>
      <x:c r="C4" s="32" t="str">
        <x:v>资产名称</x:v>
      </x:c>
      <x:c r="D4" s="32" t="str">
        <x:v>级别</x:v>
      </x:c>
      <x:c r="E4" s="32" t="str">
        <x:v>剧本出处</x:v>
      </x:c>
      <x:c r="F4" s="32" t="str">
        <x:v>设计摘要</x:v>
      </x:c>
      <x:c r="G4" s="32" t="str">
        <x:v>状态/变体</x:v>
      </x:c>
      <x:c r="H4" s="32" t="str">
        <x:v>确认状态</x:v>
      </x:c>
      <x:c r="I4" s="33" t="str">
        <x:v>阶段2建议</x:v>
      </x:c>
    </x:row>
    <x:row r="5" ht="42" customHeight="1">
      <x:c r="A5" s="34" t="str">
        <x:v>ASR-PRP-P0-001-念珠</x:v>
      </x:c>
      <x:c r="B5" s="34" t="str">
        <x:v>PRP</x:v>
      </x:c>
      <x:c r="C5" s="34" t="str">
        <x:v>念珠</x:v>
      </x:c>
      <x:c r="D5" s="34" t="str">
        <x:v>P0</x:v>
      </x:c>
      <x:c r="E5" s="34" t="str">
        <x:v>01、03-04、13、18-19</x:v>
      </x:c>
      <x:c r="F5" s="34" t="str">
        <x:v>单珠10毫米；灰白哑光石质/菩提质感或深棕檀木；Prompt不写精确珠数</x:v>
      </x:c>
      <x:c r="G5" s="34" t="str">
        <x:v>按资产卡要求生成基础态与必要关系切片</x:v>
      </x:c>
      <x:c r="H5" s="34" t="str">
        <x:v>已锁定</x:v>
      </x:c>
      <x:c r="I5" s="34" t="str">
        <x:v>进入第一批或随P0共同依赖包制作；先验证后批量</x:v>
      </x:c>
    </x:row>
    <x:row r="6" ht="42" customHeight="1">
      <x:c r="A6" s="35" t="str">
        <x:v>ASR-PRP-P1-002-真实烛火</x:v>
      </x:c>
      <x:c r="B6" s="35" t="str">
        <x:v>PRP</x:v>
      </x:c>
      <x:c r="C6" s="35" t="str">
        <x:v>真实烛火</x:v>
      </x:c>
      <x:c r="D6" s="35" t="str">
        <x:v>P1</x:v>
      </x:c>
      <x:c r="E6" s="35" t="str">
        <x:v>01</x:v>
      </x:c>
      <x:c r="F6" s="35" t="str">
        <x:v>单一真实灯芯火焰与一次轻爆裂；无神光</x:v>
      </x:c>
      <x:c r="G6" s="35" t="str">
        <x:v>按资产卡要求生成基础态与必要关系切片</x:v>
      </x:c>
      <x:c r="H6" s="35" t="str">
        <x:v>建议采用</x:v>
      </x:c>
      <x:c r="I6" s="35" t="str">
        <x:v>随对应P0资产或第二批生产包制作</x:v>
      </x:c>
    </x:row>
    <x:row r="7" ht="42" customHeight="1">
      <x:c r="A7" s="35" t="str">
        <x:v>ASR-PRP-P0-003-青绿落叶</x:v>
      </x:c>
      <x:c r="B7" s="35" t="str">
        <x:v>PRP</x:v>
      </x:c>
      <x:c r="C7" s="35" t="str">
        <x:v>青绿落叶</x:v>
      </x:c>
      <x:c r="D7" s="35" t="str">
        <x:v>P0</x:v>
      </x:c>
      <x:c r="E7" s="35" t="str">
        <x:v>14、16-17、20、29</x:v>
      </x:c>
      <x:c r="F7" s="35" t="str">
        <x:v>冷灰青绿、真实叶脉、湿润感；全片唯一明确生命色</x:v>
      </x:c>
      <x:c r="G7" s="35" t="str">
        <x:v>按资产卡要求生成基础态与必要关系切片</x:v>
      </x:c>
      <x:c r="H7" s="35" t="str">
        <x:v>已锁定</x:v>
      </x:c>
      <x:c r="I7" s="35" t="str">
        <x:v>进入第一批或随P0共同依赖包制作；先验证后批量</x:v>
      </x:c>
    </x:row>
    <x:row r="8" ht="42" customHeight="1">
      <x:c r="A8" s="35" t="str">
        <x:v>ASR-PRP-P1-004-发簪</x:v>
      </x:c>
      <x:c r="B8" s="35" t="str">
        <x:v>PRP</x:v>
      </x:c>
      <x:c r="C8" s="35" t="str">
        <x:v>发簪</x:v>
      </x:c>
      <x:c r="D8" s="35" t="str">
        <x:v>P1</x:v>
      </x:c>
      <x:c r="E8" s="35" t="str">
        <x:v>23-24</x:v>
      </x:c>
      <x:c r="F8" s="35" t="str">
        <x:v>克制长簪、低反光；递交和握掌形制一致</x:v>
      </x:c>
      <x:c r="G8" s="35" t="str">
        <x:v>按资产卡要求生成基础态与必要关系切片</x:v>
      </x:c>
      <x:c r="H8" s="35" t="str">
        <x:v>建议采用</x:v>
      </x:c>
      <x:c r="I8" s="35" t="str">
        <x:v>随对应P0资产或第二批生产包制作</x:v>
      </x:c>
    </x:row>
    <x:row r="9" ht="42" customHeight="1">
      <x:c r="A9" s="35" t="str">
        <x:v>ASR-PRP-P1-005-帘幕</x:v>
      </x:c>
      <x:c r="B9" s="35" t="str">
        <x:v>PRP</x:v>
      </x:c>
      <x:c r="C9" s="35" t="str">
        <x:v>帘幕</x:v>
      </x:c>
      <x:c r="D9" s="35" t="str">
        <x:v>P1</x:v>
      </x:c>
      <x:c r="E9" s="35" t="str">
        <x:v>23、25</x:v>
      </x:c>
      <x:c r="F9" s="35" t="str">
        <x:v>真实织物重力与遮挡；不仙侠飘动</x:v>
      </x:c>
      <x:c r="G9" s="35" t="str">
        <x:v>按资产卡要求生成基础态与必要关系切片</x:v>
      </x:c>
      <x:c r="H9" s="35" t="str">
        <x:v>建议采用</x:v>
      </x:c>
      <x:c r="I9" s="35" t="str">
        <x:v>随对应P0资产或第二批生产包制作</x:v>
      </x:c>
    </x:row>
    <x:row r="10" ht="42" customHeight="1">
      <x:c r="A10" s="35" t="str">
        <x:v>ASR-PRP-P1-006-毒酒杯</x:v>
      </x:c>
      <x:c r="B10" s="35" t="str">
        <x:v>PRP</x:v>
      </x:c>
      <x:c r="C10" s="35" t="str">
        <x:v>毒酒杯</x:v>
      </x:c>
      <x:c r="D10" s="35" t="str">
        <x:v>P1</x:v>
      </x:c>
      <x:c r="E10" s="35" t="str">
        <x:v>26</x:v>
      </x:c>
      <x:c r="F10" s="35" t="str">
        <x:v>可单手平推；不以异色液体提示毒性</x:v>
      </x:c>
      <x:c r="G10" s="35" t="str">
        <x:v>按资产卡要求生成基础态与必要关系切片</x:v>
      </x:c>
      <x:c r="H10" s="35" t="str">
        <x:v>建议采用</x:v>
      </x:c>
      <x:c r="I10" s="35" t="str">
        <x:v>随对应P0资产或第二批生产包制作</x:v>
      </x:c>
    </x:row>
    <x:row r="11" ht="42" customHeight="1">
      <x:c r="A11" s="35" t="str">
        <x:v>ASR-PRP-P1-007-处置诏书</x:v>
      </x:c>
      <x:c r="B11" s="35" t="str">
        <x:v>PRP</x:v>
      </x:c>
      <x:c r="C11" s="35" t="str">
        <x:v>处置诏书</x:v>
      </x:c>
      <x:c r="D11" s="35" t="str">
        <x:v>P1</x:v>
      </x:c>
      <x:c r="E11" s="35" t="str">
        <x:v>26</x:v>
      </x:c>
      <x:c r="F11" s="35" t="str">
        <x:v>可落印；文字不可读；无真实姓名</x:v>
      </x:c>
      <x:c r="G11" s="35" t="str">
        <x:v>按资产卡要求生成基础态与必要关系切片</x:v>
      </x:c>
      <x:c r="H11" s="35" t="str">
        <x:v>建议采用</x:v>
      </x:c>
      <x:c r="I11" s="35" t="str">
        <x:v>随对应P0资产或第二批生产包制作</x:v>
      </x:c>
    </x:row>
    <x:row r="12" ht="42" customHeight="1">
      <x:c r="A12" s="35" t="str">
        <x:v>ASR-PRP-P1-008-印章</x:v>
      </x:c>
      <x:c r="B12" s="35" t="str">
        <x:v>PRP</x:v>
      </x:c>
      <x:c r="C12" s="35" t="str">
        <x:v>印章</x:v>
      </x:c>
      <x:c r="D12" s="35" t="str">
        <x:v>P1</x:v>
      </x:c>
      <x:c r="E12" s="35" t="str">
        <x:v>26</x:v>
      </x:c>
      <x:c r="F12" s="35" t="str">
        <x:v>真实重量与冲击；印面虚构不可读</x:v>
      </x:c>
      <x:c r="G12" s="35" t="str">
        <x:v>按资产卡要求生成基础态与必要关系切片</x:v>
      </x:c>
      <x:c r="H12" s="35" t="str">
        <x:v>建议采用</x:v>
      </x:c>
      <x:c r="I12" s="35" t="str">
        <x:v>随对应P0资产或第二批生产包制作</x:v>
      </x:c>
    </x:row>
    <x:row r="13" ht="42" customHeight="1">
      <x:c r="A13" s="35" t="str">
        <x:v>ASR-PRP-P1-009-白绫</x:v>
      </x:c>
      <x:c r="B13" s="35" t="str">
        <x:v>PRP</x:v>
      </x:c>
      <x:c r="C13" s="35" t="str">
        <x:v>白绫</x:v>
      </x:c>
      <x:c r="D13" s="35" t="str">
        <x:v>P1</x:v>
      </x:c>
      <x:c r="E13" s="35" t="str">
        <x:v>28</x:v>
      </x:c>
      <x:c r="F13" s="35" t="str">
        <x:v>真实织物重力与下垂；不展示伤害</x:v>
      </x:c>
      <x:c r="G13" s="35" t="str">
        <x:v>按资产卡要求生成基础态与必要关系切片</x:v>
      </x:c>
      <x:c r="H13" s="35" t="str">
        <x:v>建议采用</x:v>
      </x:c>
      <x:c r="I13" s="35" t="str">
        <x:v>随对应P0资产或第二批生产包制作</x:v>
      </x:c>
    </x:row>
    <x:row r="14" ht="42" customHeight="1">
      <x:c r="A14" s="35" t="str">
        <x:v>ASR-PRP-P2-010-刀锋</x:v>
      </x:c>
      <x:c r="B14" s="35" t="str">
        <x:v>PRP</x:v>
      </x:c>
      <x:c r="C14" s="35" t="str">
        <x:v>刀锋</x:v>
      </x:c>
      <x:c r="D14" s="35" t="str">
        <x:v>P2</x:v>
      </x:c>
      <x:c r="E14" s="35" t="str">
        <x:v>28</x:v>
      </x:c>
      <x:c r="F14" s="35" t="str">
        <x:v>冷硬局部反光；不见伤口</x:v>
      </x:c>
      <x:c r="G14" s="35" t="str">
        <x:v>按资产卡要求生成基础态与必要关系切片</x:v>
      </x:c>
      <x:c r="H14" s="35" t="str">
        <x:v>建议采用</x:v>
      </x:c>
      <x:c r="I14" s="35" t="str">
        <x:v>主资产通过后按镜头缺口后置制作</x:v>
      </x:c>
    </x:row>
  </x:sheetData>
  <x:mergeCells>
    <x:mergeCell ref="A1:I1"/>
    <x:mergeCell ref="A2:I2"/>
  </x:mergeCells>
  <x:conditionalFormatting sqref="D5:D14">
    <x:cfRule type="containsText" dxfId="7" priority="1" operator="containsText" text="P0"/>
  </x:conditionalFormatting>
  <x:pageMargins left="0.7" right="0.7" top="0.75" bottom="0.75" header="0.3" footer="0.3"/>
  <x:tableParts count="1">
    <x:tablePart xmlns:r="http://schemas.openxmlformats.org/officeDocument/2006/relationships" r:id="R68fdde25f61d406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0" hidden="0" customWidth="1"/>
    <x:col min="3" max="3" width="24" hidden="0" customWidth="1"/>
    <x:col min="4" max="4" width="8" hidden="0" customWidth="1"/>
    <x:col min="5" max="5" width="18" hidden="0" customWidth="1"/>
    <x:col min="6" max="6" width="38" hidden="0" customWidth="1"/>
    <x:col min="7" max="7" width="30" hidden="0" customWidth="1"/>
    <x:col min="8" max="8" width="16" hidden="0" customWidth="1"/>
    <x:col min="9" max="9" width="34" hidden="0" customWidth="1"/>
  </x:cols>
  <x:sheetData>
    <x:row r="1" ht="30" customHeight="1">
      <x:c r="A1" s="19" t="str">
        <x:v>VFX、群演与文字资产</x:v>
      </x:c>
      <x:c r="B1" s="19"/>
      <x:c r="C1" s="19"/>
      <x:c r="D1" s="19"/>
      <x:c r="E1" s="19"/>
      <x:c r="F1" s="19"/>
      <x:c r="G1" s="19"/>
      <x:c r="H1" s="19"/>
      <x:c r="I1" s="19"/>
    </x:row>
    <x:row r="2" ht="22" customHeight="1">
      <x:c r="A2" s="6" t="str">
        <x:v>《阿修罗》阶段1｜v1.0（正式锁定版）｜生成日期 2026-07-12</x:v>
      </x:c>
      <x:c r="B2" s="6"/>
      <x:c r="C2" s="6"/>
      <x:c r="D2" s="6"/>
      <x:c r="E2" s="6"/>
      <x:c r="F2" s="6"/>
      <x:c r="G2" s="6"/>
      <x:c r="H2" s="6"/>
      <x:c r="I2" s="6"/>
    </x:row>
    <x:row r="4" ht="30" customHeight="1">
      <x:c r="A4" s="31" t="str">
        <x:v>生产资产ID</x:v>
      </x:c>
      <x:c r="B4" s="32" t="str">
        <x:v>类型</x:v>
      </x:c>
      <x:c r="C4" s="32" t="str">
        <x:v>资产名称</x:v>
      </x:c>
      <x:c r="D4" s="32" t="str">
        <x:v>级别</x:v>
      </x:c>
      <x:c r="E4" s="32" t="str">
        <x:v>剧本出处</x:v>
      </x:c>
      <x:c r="F4" s="32" t="str">
        <x:v>设计摘要</x:v>
      </x:c>
      <x:c r="G4" s="32" t="str">
        <x:v>状态/变体</x:v>
      </x:c>
      <x:c r="H4" s="32" t="str">
        <x:v>确认状态</x:v>
      </x:c>
      <x:c r="I4" s="33" t="str">
        <x:v>阶段2建议</x:v>
      </x:c>
    </x:row>
    <x:row r="5" ht="42" customHeight="1">
      <x:c r="A5" s="34" t="str">
        <x:v>ASR-VFX-P0-001-主观生理真实目光</x:v>
      </x:c>
      <x:c r="B5" s="34" t="str">
        <x:v>VFX</x:v>
      </x:c>
      <x:c r="C5" s="34" t="str">
        <x:v>主观生理真实目光</x:v>
      </x:c>
      <x:c r="D5" s="34" t="str">
        <x:v>P0</x:v>
      </x:c>
      <x:c r="E5" s="34" t="str">
        <x:v>08</x:v>
      </x:c>
      <x:c r="F5" s="34" t="str">
        <x:v>真实眼睛、极安静、无暧昧；女主主观感受</x:v>
      </x:c>
      <x:c r="G5" s="34" t="str">
        <x:v>按资产卡要求生成基础态与必要关系切片</x:v>
      </x:c>
      <x:c r="H5" s="34" t="str">
        <x:v>建议采用</x:v>
      </x:c>
      <x:c r="I5" s="34" t="str">
        <x:v>进入第一批或随P0共同依赖包制作；先验证后批量</x:v>
      </x:c>
    </x:row>
    <x:row r="6" ht="42" customHeight="1">
      <x:c r="A6" s="35" t="str">
        <x:v>ASR-VFX-P0-002-群体失焦我之诞生</x:v>
      </x:c>
      <x:c r="B6" s="35" t="str">
        <x:v>VFX</x:v>
      </x:c>
      <x:c r="C6" s="35" t="str">
        <x:v>群体失焦我之诞生</x:v>
      </x:c>
      <x:c r="D6" s="35" t="str">
        <x:v>P0</x:v>
      </x:c>
      <x:c r="E6" s="35" t="str">
        <x:v>10-12</x:v>
      </x:c>
      <x:c r="F6" s="35" t="str">
        <x:v>女主清晰、群体逐步失焦并可恢复</x:v>
      </x:c>
      <x:c r="G6" s="35" t="str">
        <x:v>按资产卡要求生成基础态与必要关系切片</x:v>
      </x:c>
      <x:c r="H6" s="35" t="str">
        <x:v>建议采用</x:v>
      </x:c>
      <x:c r="I6" s="35" t="str">
        <x:v>进入第一批或随P0共同依赖包制作；先验证后批量</x:v>
      </x:c>
    </x:row>
    <x:row r="7" ht="42" customHeight="1">
      <x:c r="A7" s="35" t="str">
        <x:v>ASR-VFX-P0-003-青绿落叶慢速下沉</x:v>
      </x:c>
      <x:c r="B7" s="35" t="str">
        <x:v>VFX</x:v>
      </x:c>
      <x:c r="C7" s="35" t="str">
        <x:v>青绿落叶慢速下沉</x:v>
      </x:c>
      <x:c r="D7" s="35" t="str">
        <x:v>P0</x:v>
      </x:c>
      <x:c r="E7" s="35" t="str">
        <x:v>16</x:v>
      </x:c>
      <x:c r="F7" s="35" t="str">
        <x:v>只改变高度，无发光与旋转炫技</x:v>
      </x:c>
      <x:c r="G7" s="35" t="str">
        <x:v>按资产卡要求生成基础态与必要关系切片</x:v>
      </x:c>
      <x:c r="H7" s="35" t="str">
        <x:v>建议采用</x:v>
      </x:c>
      <x:c r="I7" s="35" t="str">
        <x:v>进入第一批或随P0共同依赖包制作；先验证后批量</x:v>
      </x:c>
    </x:row>
    <x:row r="8" ht="42" customHeight="1">
      <x:c r="A8" s="35" t="str">
        <x:v>ASR-VFX-P0-004-心远空间层退</x:v>
      </x:c>
      <x:c r="B8" s="35" t="str">
        <x:v>VFX</x:v>
      </x:c>
      <x:c r="C8" s="35" t="str">
        <x:v>心远空间层退</x:v>
      </x:c>
      <x:c r="D8" s="35" t="str">
        <x:v>P0</x:v>
      </x:c>
      <x:c r="E8" s="35" t="str">
        <x:v>18</x:v>
      </x:c>
      <x:c r="F8" s="35" t="str">
        <x:v>女主不缩小不坠落；空间逐层远离褪色</x:v>
      </x:c>
      <x:c r="G8" s="35" t="str">
        <x:v>按资产卡要求生成基础态与必要关系切片</x:v>
      </x:c>
      <x:c r="H8" s="35" t="str">
        <x:v>建议采用</x:v>
      </x:c>
      <x:c r="I8" s="35" t="str">
        <x:v>进入第一批或随P0共同依赖包制作；先验证后批量</x:v>
      </x:c>
    </x:row>
    <x:row r="9" ht="42" customHeight="1">
      <x:c r="A9" s="35" t="str">
        <x:v>ASR-VFX-P1-005-片名落叶影转手</x:v>
      </x:c>
      <x:c r="B9" s="35" t="str">
        <x:v>VFX</x:v>
      </x:c>
      <x:c r="C9" s="35" t="str">
        <x:v>片名落叶影转手</x:v>
      </x:c>
      <x:c r="D9" s="35" t="str">
        <x:v>P1</x:v>
      </x:c>
      <x:c r="E9" s="35" t="str">
        <x:v>20-21</x:v>
      </x:c>
      <x:c r="F9" s="35" t="str">
        <x:v>叶影下沉并连续接入人间伸手</x:v>
      </x:c>
      <x:c r="G9" s="35" t="str">
        <x:v>按资产卡要求生成基础态与必要关系切片</x:v>
      </x:c>
      <x:c r="H9" s="35" t="str">
        <x:v>建议采用</x:v>
      </x:c>
      <x:c r="I9" s="35" t="str">
        <x:v>随对应P0资产或第二批生产包制作</x:v>
      </x:c>
    </x:row>
    <x:row r="10" ht="42" customHeight="1">
      <x:c r="A10" s="35" t="str">
        <x:v>ASR-VFX-P1-006-掌纹暗血色一闪</x:v>
      </x:c>
      <x:c r="B10" s="35" t="str">
        <x:v>VFX</x:v>
      </x:c>
      <x:c r="C10" s="35" t="str">
        <x:v>掌纹暗血色一闪</x:v>
      </x:c>
      <x:c r="D10" s="35" t="str">
        <x:v>P1</x:v>
      </x:c>
      <x:c r="E10" s="35" t="str">
        <x:v>24</x:v>
      </x:c>
      <x:c r="F10" s="35" t="str">
        <x:v>极暗低饱和红仅在掌纹一闪</x:v>
      </x:c>
      <x:c r="G10" s="35" t="str">
        <x:v>按资产卡要求生成基础态与必要关系切片</x:v>
      </x:c>
      <x:c r="H10" s="35" t="str">
        <x:v>建议采用</x:v>
      </x:c>
      <x:c r="I10" s="35" t="str">
        <x:v>随对应P0资产或第二批生产包制作</x:v>
      </x:c>
    </x:row>
    <x:row r="11" ht="42" customHeight="1">
      <x:c r="A11" s="35" t="str">
        <x:v>ASR-VFX-P1-007-火光风雪空床叠化</x:v>
      </x:c>
      <x:c r="B11" s="35" t="str">
        <x:v>VFX</x:v>
      </x:c>
      <x:c r="C11" s="35" t="str">
        <x:v>火光风雪空床叠化</x:v>
      </x:c>
      <x:c r="D11" s="35" t="str">
        <x:v>P1</x:v>
      </x:c>
      <x:c r="E11" s="35" t="str">
        <x:v>27</x:v>
      </x:c>
      <x:c r="F11" s="35" t="str">
        <x:v>三种后果短促叠化，人物边缘稳定</x:v>
      </x:c>
      <x:c r="G11" s="35" t="str">
        <x:v>按资产卡要求生成基础态与必要关系切片</x:v>
      </x:c>
      <x:c r="H11" s="35" t="str">
        <x:v>建议采用</x:v>
      </x:c>
      <x:c r="I11" s="35" t="str">
        <x:v>随对应P0资产或第二批生产包制作</x:v>
      </x:c>
    </x:row>
    <x:row r="12" ht="42" customHeight="1">
      <x:c r="A12" s="35" t="str">
        <x:v>ASR-VFX-P1-008-多世死亡叠闪</x:v>
      </x:c>
      <x:c r="B12" s="35" t="str">
        <x:v>VFX</x:v>
      </x:c>
      <x:c r="C12" s="35" t="str">
        <x:v>多世死亡叠闪</x:v>
      </x:c>
      <x:c r="D12" s="35" t="str">
        <x:v>P1</x:v>
      </x:c>
      <x:c r="E12" s="35" t="str">
        <x:v>28</x:v>
      </x:c>
      <x:c r="F12" s="35" t="str">
        <x:v>白绫、流放、刀锋、千夫所指连续闪过</x:v>
      </x:c>
      <x:c r="G12" s="35" t="str">
        <x:v>按资产卡要求生成基础态与必要关系切片</x:v>
      </x:c>
      <x:c r="H12" s="35" t="str">
        <x:v>建议采用</x:v>
      </x:c>
      <x:c r="I12" s="35" t="str">
        <x:v>随对应P0资产或第二批生产包制作</x:v>
      </x:c>
    </x:row>
    <x:row r="13" ht="42" customHeight="1">
      <x:c r="A13" s="35" t="str">
        <x:v>ASR-VFX-P0-009-轮回动作匹配切系统</x:v>
      </x:c>
      <x:c r="B13" s="35" t="str">
        <x:v>VFX</x:v>
      </x:c>
      <x:c r="C13" s="35" t="str">
        <x:v>轮回动作匹配切系统</x:v>
      </x:c>
      <x:c r="D13" s="35" t="str">
        <x:v>P0</x:v>
      </x:c>
      <x:c r="E13" s="35" t="str">
        <x:v>20-29</x:v>
      </x:c>
      <x:c r="F13" s="35" t="str">
        <x:v>手、发簪、掌心、酒杯、印章、落叶方向一致</x:v>
      </x:c>
      <x:c r="G13" s="35" t="str">
        <x:v>按资产卡要求生成基础态与必要关系切片</x:v>
      </x:c>
      <x:c r="H13" s="35" t="str">
        <x:v>建议采用</x:v>
      </x:c>
      <x:c r="I13" s="35" t="str">
        <x:v>进入第一批或随P0共同依赖包制作；先验证后批量</x:v>
      </x:c>
    </x:row>
    <x:row r="14" ht="42" customHeight="1">
      <x:c r="A14" s="35" t="str">
        <x:v>ASR-VFX-P2-010-黑中烛火渐显</x:v>
      </x:c>
      <x:c r="B14" s="35" t="str">
        <x:v>VFX</x:v>
      </x:c>
      <x:c r="C14" s="35" t="str">
        <x:v>黑中烛火渐显</x:v>
      </x:c>
      <x:c r="D14" s="35" t="str">
        <x:v>P2</x:v>
      </x:c>
      <x:c r="E14" s="35" t="str">
        <x:v>01</x:v>
      </x:c>
      <x:c r="F14" s="35" t="str">
        <x:v>纯黑后真实烛火缓慢显出，无粒子光晕</x:v>
      </x:c>
      <x:c r="G14" s="35" t="str">
        <x:v>按资产卡要求生成基础态与必要关系切片</x:v>
      </x:c>
      <x:c r="H14" s="35" t="str">
        <x:v>建议采用</x:v>
      </x:c>
      <x:c r="I14" s="35" t="str">
        <x:v>主资产通过后按镜头缺口后置制作</x:v>
      </x:c>
    </x:row>
    <x:row r="15" ht="42" customHeight="1">
      <x:c r="A15" s="35" t="str">
        <x:v>ASR-CRO-P0-001-比丘尼群像</x:v>
      </x:c>
      <x:c r="B15" s="35" t="str">
        <x:v>CRO</x:v>
      </x:c>
      <x:c r="C15" s="35" t="str">
        <x:v>比丘尼群像</x:v>
      </x:c>
      <x:c r="D15" s="35" t="str">
        <x:v>P0</x:v>
      </x:c>
      <x:c r="E15" s="35" t="str">
        <x:v>03、10、12-13、15</x:v>
      </x:c>
      <x:c r="F15" s="35" t="str">
        <x:v>统一坐姿与拨珠节律；个体差异避免同脸</x:v>
      </x:c>
      <x:c r="G15" s="35" t="str">
        <x:v>按资产卡要求生成基础态与必要关系切片</x:v>
      </x:c>
      <x:c r="H15" s="35" t="str">
        <x:v>建议采用</x:v>
      </x:c>
      <x:c r="I15" s="35" t="str">
        <x:v>进入第一批或随P0共同依赖包制作；先验证后批量</x:v>
      </x:c>
    </x:row>
    <x:row r="16" ht="42" customHeight="1">
      <x:c r="A16" s="35" t="str">
        <x:v>ASR-CRO-P1-002-树下讲经听众</x:v>
      </x:c>
      <x:c r="B16" s="35" t="str">
        <x:v>CRO</x:v>
      </x:c>
      <x:c r="C16" s="35" t="str">
        <x:v>树下讲经听众</x:v>
      </x:c>
      <x:c r="D16" s="35" t="str">
        <x:v>P1</x:v>
      </x:c>
      <x:c r="E16" s="35" t="str">
        <x:v>07、11、15</x:v>
      </x:c>
      <x:c r="F16" s="35" t="str">
        <x:v>朝向统一、代表个体不同；建立讲经秩序</x:v>
      </x:c>
      <x:c r="G16" s="35" t="str">
        <x:v>按资产卡要求生成基础态与必要关系切片</x:v>
      </x:c>
      <x:c r="H16" s="35" t="str">
        <x:v>建议采用</x:v>
      </x:c>
      <x:c r="I16" s="35" t="str">
        <x:v>随对应P0资产或第二批生产包制作</x:v>
      </x:c>
    </x:row>
    <x:row r="17" ht="42" customHeight="1">
      <x:c r="A17" s="35" t="str">
        <x:v>ASR-CRO-P2-003-王府边缘人群</x:v>
      </x:c>
      <x:c r="B17" s="35" t="str">
        <x:v>CRO</x:v>
      </x:c>
      <x:c r="C17" s="35" t="str">
        <x:v>王府边缘人群</x:v>
      </x:c>
      <x:c r="D17" s="35" t="str">
        <x:v>P2</x:v>
      </x:c>
      <x:c r="E17" s="35" t="str">
        <x:v>21</x:v>
      </x:c>
      <x:c r="F17" s="35" t="str">
        <x:v>不可辨背景人群；女主站边缘</x:v>
      </x:c>
      <x:c r="G17" s="35" t="str">
        <x:v>按资产卡要求生成基础态与必要关系切片</x:v>
      </x:c>
      <x:c r="H17" s="35" t="str">
        <x:v>建议采用</x:v>
      </x:c>
      <x:c r="I17" s="35" t="str">
        <x:v>主资产通过后按镜头缺口后置制作</x:v>
      </x:c>
    </x:row>
    <x:row r="18" ht="42" customHeight="1">
      <x:c r="A18" s="35" t="str">
        <x:v>ASR-CRO-P1-004-宫廷俯首群臣</x:v>
      </x:c>
      <x:c r="B18" s="35" t="str">
        <x:v>CRO</x:v>
      </x:c>
      <x:c r="C18" s="35" t="str">
        <x:v>宫廷俯首群臣</x:v>
      </x:c>
      <x:c r="D18" s="35" t="str">
        <x:v>P1</x:v>
      </x:c>
      <x:c r="E18" s="35" t="str">
        <x:v>25</x:v>
      </x:c>
      <x:c r="F18" s="35" t="str">
        <x:v>前景代表、重复纵深与衣袍声建立万人感</x:v>
      </x:c>
      <x:c r="G18" s="35" t="str">
        <x:v>按资产卡要求生成基础态与必要关系切片</x:v>
      </x:c>
      <x:c r="H18" s="35" t="str">
        <x:v>建议采用</x:v>
      </x:c>
      <x:c r="I18" s="35" t="str">
        <x:v>随对应P0资产或第二批生产包制作</x:v>
      </x:c>
    </x:row>
    <x:row r="19" ht="42" customHeight="1">
      <x:c r="A19" s="35" t="str">
        <x:v>ASR-CRO-P1-005-五百罗汉剪影规模</x:v>
      </x:c>
      <x:c r="B19" s="35" t="str">
        <x:v>CRO</x:v>
      </x:c>
      <x:c r="C19" s="35" t="str">
        <x:v>五百罗汉剪影规模</x:v>
      </x:c>
      <x:c r="D19" s="35" t="str">
        <x:v>P1</x:v>
      </x:c>
      <x:c r="E19" s="35" t="str">
        <x:v>29</x:v>
      </x:c>
      <x:c r="F19" s="35" t="str">
        <x:v>不逐一实体化；剪影、肩线、朝向和低诵建立规模</x:v>
      </x:c>
      <x:c r="G19" s="35" t="str">
        <x:v>按资产卡要求生成基础态与必要关系切片</x:v>
      </x:c>
      <x:c r="H19" s="35" t="str">
        <x:v>建议采用</x:v>
      </x:c>
      <x:c r="I19" s="35" t="str">
        <x:v>随对应P0资产或第二批生产包制作</x:v>
      </x:c>
    </x:row>
    <x:row r="20" ht="42" customHeight="1">
      <x:c r="A20" s="35" t="str">
        <x:v>ASR-CRO-P2-006-千夫所指人群</x:v>
      </x:c>
      <x:c r="B20" s="35" t="str">
        <x:v>CRO</x:v>
      </x:c>
      <x:c r="C20" s="35" t="str">
        <x:v>千夫所指人群</x:v>
      </x:c>
      <x:c r="D20" s="35" t="str">
        <x:v>P2</x:v>
      </x:c>
      <x:c r="E20" s="35" t="str">
        <x:v>28</x:v>
      </x:c>
      <x:c r="F20" s="35" t="str">
        <x:v>手势和压力方向清楚；不抢女主身份</x:v>
      </x:c>
      <x:c r="G20" s="35" t="str">
        <x:v>按资产卡要求生成基础态与必要关系切片</x:v>
      </x:c>
      <x:c r="H20" s="35" t="str">
        <x:v>建议采用</x:v>
      </x:c>
      <x:c r="I20" s="35" t="str">
        <x:v>主资产通过后按镜头缺口后置制作</x:v>
      </x:c>
    </x:row>
    <x:row r="21" ht="42" customHeight="1">
      <x:c r="A21" s="35" t="str">
        <x:v>ASR-SYM-P0-001-阿修罗片名卡</x:v>
      </x:c>
      <x:c r="B21" s="35" t="str">
        <x:v>SYM</x:v>
      </x:c>
      <x:c r="C21" s="35" t="str">
        <x:v>阿修罗片名卡</x:v>
      </x:c>
      <x:c r="D21" s="35" t="str">
        <x:v>P0</x:v>
      </x:c>
      <x:c r="E21" s="35" t="str">
        <x:v>20</x:v>
      </x:c>
      <x:c r="F21" s="35" t="str">
        <x:v>近黑深灰底、灰白枯笔字；不描金不发光</x:v>
      </x:c>
      <x:c r="G21" s="35" t="str">
        <x:v>按资产卡要求生成基础态与必要关系切片</x:v>
      </x:c>
      <x:c r="H21" s="35" t="str">
        <x:v>建议采用</x:v>
      </x:c>
      <x:c r="I21" s="35" t="str">
        <x:v>进入第一批或随P0共同依赖包制作；先验证后批量</x:v>
      </x:c>
    </x:row>
    <x:row r="22" ht="42" customHeight="1">
      <x:c r="A22" s="35" t="str">
        <x:v>ASR-SYM-P1-002-诏书与印面不可读文字规范</x:v>
      </x:c>
      <x:c r="B22" s="35" t="str">
        <x:v>SYM</x:v>
      </x:c>
      <x:c r="C22" s="35" t="str">
        <x:v>诏书与印面不可读文字规范</x:v>
      </x:c>
      <x:c r="D22" s="35" t="str">
        <x:v>P1</x:v>
      </x:c>
      <x:c r="E22" s="35" t="str">
        <x:v>26</x:v>
      </x:c>
      <x:c r="F22" s="35" t="str">
        <x:v>虚构笔画与印面；不可辨具体字与政权</x:v>
      </x:c>
      <x:c r="G22" s="35" t="str">
        <x:v>按资产卡要求生成基础态与必要关系切片</x:v>
      </x:c>
      <x:c r="H22" s="35" t="str">
        <x:v>建议采用</x:v>
      </x:c>
      <x:c r="I22" s="35" t="str">
        <x:v>随对应P0资产或第二批生产包制作</x:v>
      </x:c>
    </x:row>
  </x:sheetData>
  <x:mergeCells>
    <x:mergeCell ref="A1:I1"/>
    <x:mergeCell ref="A2:I2"/>
  </x:mergeCells>
  <x:conditionalFormatting sqref="D5:D22">
    <x:cfRule type="containsText" dxfId="8" priority="1" operator="containsText" text="P0"/>
  </x:conditionalFormatting>
  <x:pageMargins left="0.7" right="0.7" top="0.75" bottom="0.75" header="0.3" footer="0.3"/>
  <x:tableParts count="1">
    <x:tablePart xmlns:r="http://schemas.openxmlformats.org/officeDocument/2006/relationships" r:id="Ra936a6cff9864e8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0" hidden="0" customWidth="1"/>
    <x:col min="3" max="3" width="24" hidden="0" customWidth="1"/>
    <x:col min="4" max="4" width="8" hidden="0" customWidth="1"/>
    <x:col min="5" max="5" width="18" hidden="0" customWidth="1"/>
    <x:col min="6" max="6" width="38" hidden="0" customWidth="1"/>
    <x:col min="7" max="7" width="30" hidden="0" customWidth="1"/>
    <x:col min="8" max="8" width="16" hidden="0" customWidth="1"/>
    <x:col min="9" max="9" width="34" hidden="0" customWidth="1"/>
  </x:cols>
  <x:sheetData>
    <x:row r="1" ht="30" customHeight="1">
      <x:c r="A1" s="19" t="str">
        <x:v>声音母题资产</x:v>
      </x:c>
      <x:c r="B1" s="19"/>
      <x:c r="C1" s="19"/>
      <x:c r="D1" s="19"/>
      <x:c r="E1" s="19"/>
      <x:c r="F1" s="19"/>
      <x:c r="G1" s="19"/>
      <x:c r="H1" s="19"/>
      <x:c r="I1" s="19"/>
    </x:row>
    <x:row r="2" ht="22" customHeight="1">
      <x:c r="A2" s="6" t="str">
        <x:v>《阿修罗》阶段1｜v1.0（正式锁定版）｜生成日期 2026-07-12</x:v>
      </x:c>
      <x:c r="B2" s="6"/>
      <x:c r="C2" s="6"/>
      <x:c r="D2" s="6"/>
      <x:c r="E2" s="6"/>
      <x:c r="F2" s="6"/>
      <x:c r="G2" s="6"/>
      <x:c r="H2" s="6"/>
      <x:c r="I2" s="6"/>
    </x:row>
    <x:row r="4" ht="30" customHeight="1">
      <x:c r="A4" s="31" t="str">
        <x:v>生产资产ID</x:v>
      </x:c>
      <x:c r="B4" s="32" t="str">
        <x:v>类型</x:v>
      </x:c>
      <x:c r="C4" s="32" t="str">
        <x:v>资产名称</x:v>
      </x:c>
      <x:c r="D4" s="32" t="str">
        <x:v>级别</x:v>
      </x:c>
      <x:c r="E4" s="32" t="str">
        <x:v>剧本出处</x:v>
      </x:c>
      <x:c r="F4" s="32" t="str">
        <x:v>设计摘要</x:v>
      </x:c>
      <x:c r="G4" s="32" t="str">
        <x:v>状态/变体</x:v>
      </x:c>
      <x:c r="H4" s="32" t="str">
        <x:v>确认状态</x:v>
      </x:c>
      <x:c r="I4" s="33" t="str">
        <x:v>阶段2建议</x:v>
      </x:c>
    </x:row>
    <x:row r="5" ht="42" customHeight="1">
      <x:c r="A5" s="34" t="str">
        <x:v>ASR-SND-P0-001-念珠秩序节律</x:v>
      </x:c>
      <x:c r="B5" s="34" t="str">
        <x:v>SND</x:v>
      </x:c>
      <x:c r="C5" s="34" t="str">
        <x:v>念珠秩序节律</x:v>
      </x:c>
      <x:c r="D5" s="34" t="str">
        <x:v>P0</x:v>
      </x:c>
      <x:c r="E5" s="34" t="str">
        <x:v>01、03-04、13、18-19</x:v>
      </x:c>
      <x:c r="F5" s="34" t="str">
        <x:v>干燥真实珠声；支持规律、缺拍、逆拨和闷响</x:v>
      </x:c>
      <x:c r="G5" s="34" t="str">
        <x:v>按镜头距离、强度和节律生成可调用变体</x:v>
      </x:c>
      <x:c r="H5" s="34" t="str">
        <x:v>建议采用</x:v>
      </x:c>
      <x:c r="I5" s="34" t="str">
        <x:v>进入第一批或随P0共同依赖包制作；先验证后批量</x:v>
      </x:c>
    </x:row>
    <x:row r="6" ht="42" customHeight="1">
      <x:c r="A6" s="35" t="str">
        <x:v>ASR-SND-P0-002-木鱼节律</x:v>
      </x:c>
      <x:c r="B6" s="35" t="str">
        <x:v>SND</x:v>
      </x:c>
      <x:c r="C6" s="35" t="str">
        <x:v>木鱼节律</x:v>
      </x:c>
      <x:c r="D6" s="35" t="str">
        <x:v>P0</x:v>
      </x:c>
      <x:c r="E6" s="35" t="str">
        <x:v>03、11、14-15、25</x:v>
      </x:c>
      <x:c r="F6" s="35" t="str">
        <x:v>稳定修行节拍；可少一拍和中断半拍</x:v>
      </x:c>
      <x:c r="G6" s="35" t="str">
        <x:v>按镜头距离、强度和节律生成可调用变体</x:v>
      </x:c>
      <x:c r="H6" s="35" t="str">
        <x:v>建议采用</x:v>
      </x:c>
      <x:c r="I6" s="35" t="str">
        <x:v>进入第一批或随P0共同依赖包制作；先验证后批量</x:v>
      </x:c>
    </x:row>
    <x:row r="7" ht="42" customHeight="1">
      <x:c r="A7" s="35" t="str">
        <x:v>ASR-SND-P0-003-梵呗秩序</x:v>
      </x:c>
      <x:c r="B7" s="35" t="str">
        <x:v>SND</x:v>
      </x:c>
      <x:c r="C7" s="35" t="str">
        <x:v>梵呗秩序</x:v>
      </x:c>
      <x:c r="D7" s="35" t="str">
        <x:v>P0</x:v>
      </x:c>
      <x:c r="E7" s="35" t="str">
        <x:v>03、08、15、18</x:v>
      </x:c>
      <x:c r="F7" s="35" t="str">
        <x:v>场内群体低诵；可变薄、拉远、恢复</x:v>
      </x:c>
      <x:c r="G7" s="35" t="str">
        <x:v>按镜头距离、强度和节律生成可调用变体</x:v>
      </x:c>
      <x:c r="H7" s="35" t="str">
        <x:v>建议采用</x:v>
      </x:c>
      <x:c r="I7" s="35" t="str">
        <x:v>进入第一批或随P0共同依赖包制作；先验证后批量</x:v>
      </x:c>
    </x:row>
    <x:row r="8" ht="42" customHeight="1">
      <x:c r="A8" s="35" t="str">
        <x:v>ASR-SND-P1-004-远磬</x:v>
      </x:c>
      <x:c r="B8" s="35" t="str">
        <x:v>SND</x:v>
      </x:c>
      <x:c r="C8" s="35" t="str">
        <x:v>远磬</x:v>
      </x:c>
      <x:c r="D8" s="35" t="str">
        <x:v>P1</x:v>
      </x:c>
      <x:c r="E8" s="35" t="str">
        <x:v>06、20</x:v>
      </x:c>
      <x:c r="F8" s="35" t="str">
        <x:v>一次真实磬声；尾音可被心跳切断</x:v>
      </x:c>
      <x:c r="G8" s="35" t="str">
        <x:v>按镜头距离、强度和节律生成可调用变体</x:v>
      </x:c>
      <x:c r="H8" s="35" t="str">
        <x:v>建议采用</x:v>
      </x:c>
      <x:c r="I8" s="35" t="str">
        <x:v>随对应P0资产或第二批生产包制作</x:v>
      </x:c>
    </x:row>
    <x:row r="9" ht="42" customHeight="1">
      <x:c r="A9" s="35" t="str">
        <x:v>ASR-SND-P1-005-佛国松涛风声</x:v>
      </x:c>
      <x:c r="B9" s="35" t="str">
        <x:v>SND</x:v>
      </x:c>
      <x:c r="C9" s="35" t="str">
        <x:v>佛国松涛风声</x:v>
      </x:c>
      <x:c r="D9" s="35" t="str">
        <x:v>P1</x:v>
      </x:c>
      <x:c r="E9" s="35" t="str">
        <x:v>02</x:v>
      </x:c>
      <x:c r="F9" s="35" t="str">
        <x:v>远淡真实；不做仙境风铃</x:v>
      </x:c>
      <x:c r="G9" s="35" t="str">
        <x:v>按镜头距离、强度和节律生成可调用变体</x:v>
      </x:c>
      <x:c r="H9" s="35" t="str">
        <x:v>建议采用</x:v>
      </x:c>
      <x:c r="I9" s="35" t="str">
        <x:v>随对应P0资产或第二批生产包制作</x:v>
      </x:c>
    </x:row>
    <x:row r="10" ht="42" customHeight="1">
      <x:c r="A10" s="35" t="str">
        <x:v>ASR-SND-P0-006-呼吸母题</x:v>
      </x:c>
      <x:c r="B10" s="35" t="str">
        <x:v>SND</x:v>
      </x:c>
      <x:c r="C10" s="35" t="str">
        <x:v>呼吸母题</x:v>
      </x:c>
      <x:c r="D10" s="35" t="str">
        <x:v>P0</x:v>
      </x:c>
      <x:c r="E10" s="35" t="str">
        <x:v>05、08-09、12、17、22、27</x:v>
      </x:c>
      <x:c r="F10" s="35" t="str">
        <x:v>对齐、慢半拍、贴耳三个状态可区分</x:v>
      </x:c>
      <x:c r="G10" s="35" t="str">
        <x:v>按镜头距离、强度和节律生成可调用变体</x:v>
      </x:c>
      <x:c r="H10" s="35" t="str">
        <x:v>建议采用</x:v>
      </x:c>
      <x:c r="I10" s="35" t="str">
        <x:v>进入第一批或随P0共同依赖包制作；先验证后批量</x:v>
      </x:c>
    </x:row>
    <x:row r="11" ht="42" customHeight="1">
      <x:c r="A11" s="35" t="str">
        <x:v>ASR-SND-P1-007-水滴深井</x:v>
      </x:c>
      <x:c r="B11" s="35" t="str">
        <x:v>SND</x:v>
      </x:c>
      <x:c r="C11" s="35" t="str">
        <x:v>水滴深井</x:v>
      </x:c>
      <x:c r="D11" s="35" t="str">
        <x:v>P1</x:v>
      </x:c>
      <x:c r="E11" s="35" t="str">
        <x:v>12、16</x:v>
      </x:c>
      <x:c r="F11" s="35" t="str">
        <x:v>单滴、纵深长，扩散后回归寂静</x:v>
      </x:c>
      <x:c r="G11" s="35" t="str">
        <x:v>按镜头距离、强度和节律生成可调用变体</x:v>
      </x:c>
      <x:c r="H11" s="35" t="str">
        <x:v>建议采用</x:v>
      </x:c>
      <x:c r="I11" s="35" t="str">
        <x:v>随对应P0资产或第二批生产包制作</x:v>
      </x:c>
    </x:row>
    <x:row r="12" ht="42" customHeight="1">
      <x:c r="A12" s="35" t="str">
        <x:v>ASR-SND-P0-008-声音中断与少一拍</x:v>
      </x:c>
      <x:c r="B12" s="35" t="str">
        <x:v>SND</x:v>
      </x:c>
      <x:c r="C12" s="35" t="str">
        <x:v>声音中断与少一拍</x:v>
      </x:c>
      <x:c r="D12" s="35" t="str">
        <x:v>P0</x:v>
      </x:c>
      <x:c r="E12" s="35" t="str">
        <x:v>01、13-15、29</x:v>
      </x:c>
      <x:c r="F12" s="35" t="str">
        <x:v>秩序裂缝；不依赖持续低频</x:v>
      </x:c>
      <x:c r="G12" s="35" t="str">
        <x:v>按镜头距离、强度和节律生成可调用变体</x:v>
      </x:c>
      <x:c r="H12" s="35" t="str">
        <x:v>建议采用</x:v>
      </x:c>
      <x:c r="I12" s="35" t="str">
        <x:v>进入第一批或随P0共同依赖包制作；先验证后批量</x:v>
      </x:c>
    </x:row>
    <x:row r="13" ht="42" customHeight="1">
      <x:c r="A13" s="35" t="str">
        <x:v>ASR-SND-P0-009-人间心跳</x:v>
      </x:c>
      <x:c r="B13" s="35" t="str">
        <x:v>SND</x:v>
      </x:c>
      <x:c r="C13" s="35" t="str">
        <x:v>人间心跳</x:v>
      </x:c>
      <x:c r="D13" s="35" t="str">
        <x:v>P0</x:v>
      </x:c>
      <x:c r="E13" s="35" t="str">
        <x:v>20-29</x:v>
      </x:c>
      <x:c r="F13" s="35" t="str">
        <x:v>片名后首次清晰，轮回段加速但不持续轰鸣</x:v>
      </x:c>
      <x:c r="G13" s="35" t="str">
        <x:v>按镜头距离、强度和节律生成可调用变体</x:v>
      </x:c>
      <x:c r="H13" s="35" t="str">
        <x:v>建议采用</x:v>
      </x:c>
      <x:c r="I13" s="35" t="str">
        <x:v>进入第一批或随P0共同依赖包制作；先验证后批量</x:v>
      </x:c>
    </x:row>
    <x:row r="14" ht="42" customHeight="1">
      <x:c r="A14" s="35" t="str">
        <x:v>ASR-SND-P1-010-衣料摩擦</x:v>
      </x:c>
      <x:c r="B14" s="35" t="str">
        <x:v>SND</x:v>
      </x:c>
      <x:c r="C14" s="35" t="str">
        <x:v>衣料摩擦</x:v>
      </x:c>
      <x:c r="D14" s="35" t="str">
        <x:v>P1</x:v>
      </x:c>
      <x:c r="E14" s="35" t="str">
        <x:v>17、21、25</x:v>
      </x:c>
      <x:c r="F14" s="35" t="str">
        <x:v>握紧与群臣伏地所需的真实织物声</x:v>
      </x:c>
      <x:c r="G14" s="35" t="str">
        <x:v>按镜头距离、强度和节律生成可调用变体</x:v>
      </x:c>
      <x:c r="H14" s="35" t="str">
        <x:v>建议采用</x:v>
      </x:c>
      <x:c r="I14" s="35" t="str">
        <x:v>随对应P0资产或第二批生产包制作</x:v>
      </x:c>
    </x:row>
    <x:row r="15" ht="42" customHeight="1">
      <x:c r="A15" s="35" t="str">
        <x:v>ASR-SND-P1-011-弦乐完整句与断弦</x:v>
      </x:c>
      <x:c r="B15" s="35" t="str">
        <x:v>SND</x:v>
      </x:c>
      <x:c r="C15" s="35" t="str">
        <x:v>弦乐完整句与断弦</x:v>
      </x:c>
      <x:c r="D15" s="35" t="str">
        <x:v>P1</x:v>
      </x:c>
      <x:c r="E15" s="35" t="str">
        <x:v>22、24</x:v>
      </x:c>
      <x:c r="F15" s="35" t="str">
        <x:v>镜头22锁定场内同期琴声；镜头24断弦；不是配乐</x:v>
      </x:c>
      <x:c r="G15" s="35" t="str">
        <x:v>按镜头距离、强度和节律生成可调用变体</x:v>
      </x:c>
      <x:c r="H15" s="35" t="str">
        <x:v>建议采用</x:v>
      </x:c>
      <x:c r="I15" s="35" t="str">
        <x:v>随对应P0资产或第二批生产包制作</x:v>
      </x:c>
    </x:row>
    <x:row r="16" ht="42" customHeight="1">
      <x:c r="A16" s="35" t="str">
        <x:v>ASR-SND-P1-012-印章酒杯撞击</x:v>
      </x:c>
      <x:c r="B16" s="35" t="str">
        <x:v>SND</x:v>
      </x:c>
      <x:c r="C16" s="35" t="str">
        <x:v>印章酒杯撞击</x:v>
      </x:c>
      <x:c r="D16" s="35" t="str">
        <x:v>P1</x:v>
      </x:c>
      <x:c r="E16" s="35" t="str">
        <x:v>26</x:v>
      </x:c>
      <x:c r="F16" s="35" t="str">
        <x:v>落印与杯触案叠成一次重击</x:v>
      </x:c>
      <x:c r="G16" s="35" t="str">
        <x:v>按镜头距离、强度和节律生成可调用变体</x:v>
      </x:c>
      <x:c r="H16" s="35" t="str">
        <x:v>建议采用</x:v>
      </x:c>
      <x:c r="I16" s="35" t="str">
        <x:v>随对应P0资产或第二批生产包制作</x:v>
      </x:c>
    </x:row>
    <x:row r="17" ht="42" customHeight="1">
      <x:c r="A17" s="35" t="str">
        <x:v>ASR-SND-P1-013-宫门风雪喘息</x:v>
      </x:c>
      <x:c r="B17" s="35" t="str">
        <x:v>SND</x:v>
      </x:c>
      <x:c r="C17" s="35" t="str">
        <x:v>宫门风雪喘息</x:v>
      </x:c>
      <x:c r="D17" s="35" t="str">
        <x:v>P1</x:v>
      </x:c>
      <x:c r="E17" s="35" t="str">
        <x:v>27</x:v>
      </x:c>
      <x:c r="F17" s="35" t="str">
        <x:v>门轴、风雪、急喘三层可分辨</x:v>
      </x:c>
      <x:c r="G17" s="35" t="str">
        <x:v>按镜头距离、强度和节律生成可调用变体</x:v>
      </x:c>
      <x:c r="H17" s="35" t="str">
        <x:v>建议采用</x:v>
      </x:c>
      <x:c r="I17" s="35" t="str">
        <x:v>随对应P0资产或第二批生产包制作</x:v>
      </x:c>
    </x:row>
    <x:row r="18" ht="42" customHeight="1">
      <x:c r="A18" s="35" t="str">
        <x:v>ASR-SND-P0-014-绝对寂静</x:v>
      </x:c>
      <x:c r="B18" s="35" t="str">
        <x:v>SND</x:v>
      </x:c>
      <x:c r="C18" s="35" t="str">
        <x:v>绝对寂静</x:v>
      </x:c>
      <x:c r="D18" s="35" t="str">
        <x:v>P0</x:v>
      </x:c>
      <x:c r="E18" s="35" t="str">
        <x:v>29-30</x:v>
      </x:c>
      <x:c r="F18" s="35" t="str">
        <x:v>真正留白；无底噪、残响或音乐尾音</x:v>
      </x:c>
      <x:c r="G18" s="35" t="str">
        <x:v>按镜头距离、强度和节律生成可调用变体</x:v>
      </x:c>
      <x:c r="H18" s="35" t="str">
        <x:v>建议采用</x:v>
      </x:c>
      <x:c r="I18" s="35" t="str">
        <x:v>进入第一批或随P0共同依赖包制作；先验证后批量</x:v>
      </x:c>
    </x:row>
    <x:row r="19" ht="42" customHeight="1">
      <x:c r="A19" s="35" t="str">
        <x:v>ASR-SND-P2-015-灯芯爆裂</x:v>
      </x:c>
      <x:c r="B19" s="35" t="str">
        <x:v>SND</x:v>
      </x:c>
      <x:c r="C19" s="35" t="str">
        <x:v>灯芯爆裂</x:v>
      </x:c>
      <x:c r="D19" s="35" t="str">
        <x:v>P2</x:v>
      </x:c>
      <x:c r="E19" s="35" t="str">
        <x:v>01</x:v>
      </x:c>
      <x:c r="F19" s="35" t="str">
        <x:v>极轻、近场、一次真实灯芯声</x:v>
      </x:c>
      <x:c r="G19" s="35" t="str">
        <x:v>按镜头距离、强度和节律生成可调用变体</x:v>
      </x:c>
      <x:c r="H19" s="35" t="str">
        <x:v>建议采用</x:v>
      </x:c>
      <x:c r="I19" s="35" t="str">
        <x:v>主资产通过后按镜头缺口后置制作</x:v>
      </x:c>
    </x:row>
    <x:row r="20" ht="42" customHeight="1">
      <x:c r="A20" s="35" t="str">
        <x:v>ASR-SND-P1-016-低鼓与伏地衣袍</x:v>
      </x:c>
      <x:c r="B20" s="35" t="str">
        <x:v>SND</x:v>
      </x:c>
      <x:c r="C20" s="35" t="str">
        <x:v>低鼓与伏地衣袍</x:v>
      </x:c>
      <x:c r="D20" s="35" t="str">
        <x:v>P1</x:v>
      </x:c>
      <x:c r="E20" s="35" t="str">
        <x:v>25</x:v>
      </x:c>
      <x:c r="F20" s="35" t="str">
        <x:v>低鼓一记；衣袍伏地建立权力空间</x:v>
      </x:c>
      <x:c r="G20" s="35" t="str">
        <x:v>按镜头距离、强度和节律生成可调用变体</x:v>
      </x:c>
      <x:c r="H20" s="35" t="str">
        <x:v>建议采用</x:v>
      </x:c>
      <x:c r="I20" s="35" t="str">
        <x:v>随对应P0资产或第二批生产包制作</x:v>
      </x:c>
    </x:row>
  </x:sheetData>
  <x:mergeCells>
    <x:mergeCell ref="A1:I1"/>
    <x:mergeCell ref="A2:I2"/>
  </x:mergeCells>
  <x:conditionalFormatting sqref="D5:D20">
    <x:cfRule type="containsText" dxfId="9" priority="1" operator="containsText" text="P0"/>
  </x:conditionalFormatting>
  <x:pageMargins left="0.7" right="0.7" top="0.75" bottom="0.75" header="0.3" footer="0.3"/>
  <x:tableParts count="1">
    <x:tablePart xmlns:r="http://schemas.openxmlformats.org/officeDocument/2006/relationships" r:id="Rb10a5bd037094a2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0" hidden="0" customWidth="1"/>
    <x:col min="3" max="3" width="24" hidden="0" customWidth="1"/>
    <x:col min="4" max="4" width="8" hidden="0" customWidth="1"/>
    <x:col min="5" max="5" width="18" hidden="0" customWidth="1"/>
    <x:col min="6" max="6" width="38" hidden="0" customWidth="1"/>
    <x:col min="7" max="7" width="30" hidden="0" customWidth="1"/>
    <x:col min="8" max="8" width="16" hidden="0" customWidth="1"/>
    <x:col min="9" max="9" width="34" hidden="0" customWidth="1"/>
  </x:cols>
  <x:sheetData>
    <x:row r="1" ht="30" customHeight="1">
      <x:c r="A1" s="19" t="str">
        <x:v>资产关系与连续性</x:v>
      </x:c>
      <x:c r="B1" s="19"/>
      <x:c r="C1" s="19"/>
      <x:c r="D1" s="19"/>
      <x:c r="E1" s="19"/>
      <x:c r="F1" s="19"/>
      <x:c r="G1" s="19"/>
      <x:c r="H1" s="19"/>
      <x:c r="I1" s="19"/>
    </x:row>
    <x:row r="2" ht="22" customHeight="1">
      <x:c r="A2" s="6" t="str">
        <x:v>《阿修罗》阶段1｜v1.0（正式锁定版）｜生成日期 2026-07-12</x:v>
      </x:c>
      <x:c r="B2" s="6"/>
      <x:c r="C2" s="6"/>
      <x:c r="D2" s="6"/>
      <x:c r="E2" s="6"/>
      <x:c r="F2" s="6"/>
      <x:c r="G2" s="6"/>
      <x:c r="H2" s="6"/>
      <x:c r="I2" s="6"/>
    </x:row>
    <x:row r="4" ht="30" customHeight="1">
      <x:c r="A4" s="31" t="str">
        <x:v>生产资产ID</x:v>
      </x:c>
      <x:c r="B4" s="32" t="str">
        <x:v>类型</x:v>
      </x:c>
      <x:c r="C4" s="32" t="str">
        <x:v>资产名称</x:v>
      </x:c>
      <x:c r="D4" s="32" t="str">
        <x:v>级别</x:v>
      </x:c>
      <x:c r="E4" s="32" t="str">
        <x:v>剧本出处</x:v>
      </x:c>
      <x:c r="F4" s="32" t="str">
        <x:v>设计摘要</x:v>
      </x:c>
      <x:c r="G4" s="32" t="str">
        <x:v>状态/变体</x:v>
      </x:c>
      <x:c r="H4" s="32" t="str">
        <x:v>确认状态</x:v>
      </x:c>
      <x:c r="I4" s="33" t="str">
        <x:v>阶段2建议</x:v>
      </x:c>
    </x:row>
    <x:row r="5" ht="42" customHeight="1">
      <x:c r="A5" s="34" t="str">
        <x:v>ASR-REL-P0-001-女主跨千年同一身份</x:v>
      </x:c>
      <x:c r="B5" s="34" t="str">
        <x:v>REL</x:v>
      </x:c>
      <x:c r="C5" s="34" t="str">
        <x:v>女主跨千年同一身份</x:v>
      </x:c>
      <x:c r="D5" s="34" t="str">
        <x:v>P0</x:v>
      </x:c>
      <x:c r="E5" s="34" t="str">
        <x:v>03-29</x:v>
      </x:c>
      <x:c r="F5" s="34" t="str">
        <x:v>全部CST继承同一眼型、眉骨、唇形与面部比例</x:v>
      </x:c>
      <x:c r="G5" s="34" t="str">
        <x:v>不单独生成；作为下游约束</x:v>
      </x:c>
      <x:c r="H5" s="34" t="str">
        <x:v>建议采用</x:v>
      </x:c>
      <x:c r="I5" s="34" t="str">
        <x:v>进入第一批或随P0共同依赖包制作；先验证后批量</x:v>
      </x:c>
    </x:row>
    <x:row r="6" ht="42" customHeight="1">
      <x:c r="A6" s="35" t="str">
        <x:v>ASR-REL-P0-002-女主念珠接触</x:v>
      </x:c>
      <x:c r="B6" s="35" t="str">
        <x:v>REL</x:v>
      </x:c>
      <x:c r="C6" s="35" t="str">
        <x:v>女主念珠接触</x:v>
      </x:c>
      <x:c r="D6" s="35" t="str">
        <x:v>P0</x:v>
      </x:c>
      <x:c r="E6" s="35" t="str">
        <x:v>04、13、19</x:v>
      </x:c>
      <x:c r="F6" s="35" t="str">
        <x:v>手部比例、珠径、接触点与逆拨方向一致</x:v>
      </x:c>
      <x:c r="G6" s="35" t="str">
        <x:v>不单独生成；作为下游约束</x:v>
      </x:c>
      <x:c r="H6" s="35" t="str">
        <x:v>建议采用</x:v>
      </x:c>
      <x:c r="I6" s="35" t="str">
        <x:v>进入第一批或随P0共同依赖包制作；先验证后批量</x:v>
      </x:c>
    </x:row>
    <x:row r="7" ht="42" customHeight="1">
      <x:c r="A7" s="35" t="str">
        <x:v>ASR-REL-P0-003-女主声纹连续</x:v>
      </x:c>
      <x:c r="B7" s="35" t="str">
        <x:v>REL</x:v>
      </x:c>
      <x:c r="C7" s="35" t="str">
        <x:v>女主声纹连续</x:v>
      </x:c>
      <x:c r="D7" s="35" t="str">
        <x:v>P0</x:v>
      </x:c>
      <x:c r="E7" s="35" t="str">
        <x:v>05、10、19、29、30</x:v>
      </x:c>
      <x:c r="F7" s="35" t="str">
        <x:v>VO、短句与片尾同一声纹</x:v>
      </x:c>
      <x:c r="G7" s="35" t="str">
        <x:v>不单独生成；作为下游约束</x:v>
      </x:c>
      <x:c r="H7" s="35" t="str">
        <x:v>建议采用</x:v>
      </x:c>
      <x:c r="I7" s="35" t="str">
        <x:v>进入第一批或随P0共同依赖包制作；先验证后批量</x:v>
      </x:c>
    </x:row>
    <x:row r="8" ht="42" customHeight="1">
      <x:c r="A8" s="35" t="str">
        <x:v>ASR-REL-P0-004-佛非正面空间存在</x:v>
      </x:c>
      <x:c r="B8" s="35" t="str">
        <x:v>REL</x:v>
      </x:c>
      <x:c r="C8" s="35" t="str">
        <x:v>佛非正面空间存在</x:v>
      </x:c>
      <x:c r="D8" s="35" t="str">
        <x:v>P0</x:v>
      </x:c>
      <x:c r="E8" s="35" t="str">
        <x:v>07、11、29</x:v>
      </x:c>
      <x:c r="F8" s="35" t="str">
        <x:v>佛不正面，不转头选择女主</x:v>
      </x:c>
      <x:c r="G8" s="35" t="str">
        <x:v>不单独生成；作为下游约束</x:v>
      </x:c>
      <x:c r="H8" s="35" t="str">
        <x:v>建议采用</x:v>
      </x:c>
      <x:c r="I8" s="35" t="str">
        <x:v>进入第一批或随P0共同依赖包制作；先验证后批量</x:v>
      </x:c>
    </x:row>
    <x:row r="9" ht="42" customHeight="1">
      <x:c r="A9" s="35" t="str">
        <x:v>ASR-REL-P0-005-佛国客观空间轴线</x:v>
      </x:c>
      <x:c r="B9" s="35" t="str">
        <x:v>REL</x:v>
      </x:c>
      <x:c r="C9" s="35" t="str">
        <x:v>佛国客观空间轴线</x:v>
      </x:c>
      <x:c r="D9" s="35" t="str">
        <x:v>P0</x:v>
      </x:c>
      <x:c r="E9" s="35" t="str">
        <x:v>02-18</x:v>
      </x:c>
      <x:c r="F9" s="35" t="str">
        <x:v>主观压缩后回到同一殿内—庭院—树下轴线</x:v>
      </x:c>
      <x:c r="G9" s="35" t="str">
        <x:v>不单独生成；作为下游约束</x:v>
      </x:c>
      <x:c r="H9" s="35" t="str">
        <x:v>建议采用</x:v>
      </x:c>
      <x:c r="I9" s="35" t="str">
        <x:v>进入第一批或随P0共同依赖包制作；先验证后批量</x:v>
      </x:c>
    </x:row>
    <x:row r="10" ht="42" customHeight="1">
      <x:c r="A10" s="35" t="str">
        <x:v>ASR-REL-P0-006-树枝落叶来源</x:v>
      </x:c>
      <x:c r="B10" s="35" t="str">
        <x:v>REL</x:v>
      </x:c>
      <x:c r="C10" s="35" t="str">
        <x:v>树枝落叶来源</x:v>
      </x:c>
      <x:c r="D10" s="35" t="str">
        <x:v>P0</x:v>
      </x:c>
      <x:c r="E10" s="35" t="str">
        <x:v>14-16</x:v>
      </x:c>
      <x:c r="F10" s="35" t="str">
        <x:v>同一叶形从真实枝端松开，枝条不回弹</x:v>
      </x:c>
      <x:c r="G10" s="35" t="str">
        <x:v>不单独生成；作为下游约束</x:v>
      </x:c>
      <x:c r="H10" s="35" t="str">
        <x:v>建议采用</x:v>
      </x:c>
      <x:c r="I10" s="35" t="str">
        <x:v>进入第一批或随P0共同依赖包制作；先验证后批量</x:v>
      </x:c>
    </x:row>
    <x:row r="11" ht="42" customHeight="1">
      <x:c r="A11" s="35" t="str">
        <x:v>ASR-REL-P0-007-主观目光与客观佛对照</x:v>
      </x:c>
      <x:c r="B11" s="35" t="str">
        <x:v>REL</x:v>
      </x:c>
      <x:c r="C11" s="35" t="str">
        <x:v>主观目光与客观佛对照</x:v>
      </x:c>
      <x:c r="D11" s="35" t="str">
        <x:v>P0</x:v>
      </x:c>
      <x:c r="E11" s="35" t="str">
        <x:v>08、11</x:v>
      </x:c>
      <x:c r="F11" s="35" t="str">
        <x:v>主观唯一感不能改写客观事实</x:v>
      </x:c>
      <x:c r="G11" s="35" t="str">
        <x:v>不单独生成；作为下游约束</x:v>
      </x:c>
      <x:c r="H11" s="35" t="str">
        <x:v>建议采用</x:v>
      </x:c>
      <x:c r="I11" s="35" t="str">
        <x:v>进入第一批或随P0共同依赖包制作；先验证后批量</x:v>
      </x:c>
    </x:row>
    <x:row r="12" ht="42" customHeight="1">
      <x:c r="A12" s="35" t="str">
        <x:v>ASR-REL-P0-008-念珠秩序停顿逆拨</x:v>
      </x:c>
      <x:c r="B12" s="35" t="str">
        <x:v>REL</x:v>
      </x:c>
      <x:c r="C12" s="35" t="str">
        <x:v>念珠秩序停顿逆拨</x:v>
      </x:c>
      <x:c r="D12" s="35" t="str">
        <x:v>P0</x:v>
      </x:c>
      <x:c r="E12" s="35" t="str">
        <x:v>01、04、13、19</x:v>
      </x:c>
      <x:c r="F12" s="35" t="str">
        <x:v>稳定—停住—握住—逆拨动作声一致</x:v>
      </x:c>
      <x:c r="G12" s="35" t="str">
        <x:v>不单独生成；作为下游约束</x:v>
      </x:c>
      <x:c r="H12" s="35" t="str">
        <x:v>建议采用</x:v>
      </x:c>
      <x:c r="I12" s="35" t="str">
        <x:v>进入第一批或随P0共同依赖包制作；先验证后批量</x:v>
      </x:c>
    </x:row>
    <x:row r="13" ht="42" customHeight="1">
      <x:c r="A13" s="35" t="str">
        <x:v>ASR-REL-P0-009-青绿落叶全片连续</x:v>
      </x:c>
      <x:c r="B13" s="35" t="str">
        <x:v>REL</x:v>
      </x:c>
      <x:c r="C13" s="35" t="str">
        <x:v>青绿落叶全片连续</x:v>
      </x:c>
      <x:c r="D13" s="35" t="str">
        <x:v>P0</x:v>
      </x:c>
      <x:c r="E13" s="35" t="str">
        <x:v>14、16、20、29</x:v>
      </x:c>
      <x:c r="F13" s="35" t="str">
        <x:v>叶形、色彩、叶脉与完好状态连续</x:v>
      </x:c>
      <x:c r="G13" s="35" t="str">
        <x:v>不单独生成；作为下游约束</x:v>
      </x:c>
      <x:c r="H13" s="35" t="str">
        <x:v>建议采用</x:v>
      </x:c>
      <x:c r="I13" s="35" t="str">
        <x:v>进入第一批或随P0共同依赖包制作；先验证后批量</x:v>
      </x:c>
    </x:row>
    <x:row r="14" ht="42" customHeight="1">
      <x:c r="A14" s="35" t="str">
        <x:v>ASR-REL-P0-010-轮回动作接力</x:v>
      </x:c>
      <x:c r="B14" s="35" t="str">
        <x:v>REL</x:v>
      </x:c>
      <x:c r="C14" s="35" t="str">
        <x:v>轮回动作接力</x:v>
      </x:c>
      <x:c r="D14" s="35" t="str">
        <x:v>P0</x:v>
      </x:c>
      <x:c r="E14" s="35" t="str">
        <x:v>20-29</x:v>
      </x:c>
      <x:c r="F14" s="35" t="str">
        <x:v>伸手—发簪—握掌—推杯—落印—合叶</x:v>
      </x:c>
      <x:c r="G14" s="35" t="str">
        <x:v>不单独生成；作为下游约束</x:v>
      </x:c>
      <x:c r="H14" s="35" t="str">
        <x:v>建议采用</x:v>
      </x:c>
      <x:c r="I14" s="35" t="str">
        <x:v>进入第一批或随P0共同依赖包制作；先验证后批量</x:v>
      </x:c>
    </x:row>
    <x:row r="15" ht="42" customHeight="1">
      <x:c r="A15" s="35" t="str">
        <x:v>ASR-REL-P1-011-声音秩序到人间冲击</x:v>
      </x:c>
      <x:c r="B15" s="35" t="str">
        <x:v>REL</x:v>
      </x:c>
      <x:c r="C15" s="35" t="str">
        <x:v>声音秩序到人间冲击</x:v>
      </x:c>
      <x:c r="D15" s="35" t="str">
        <x:v>P1</x:v>
      </x:c>
      <x:c r="E15" s="35" t="str">
        <x:v>01-30</x:v>
      </x:c>
      <x:c r="F15" s="35" t="str">
        <x:v>秩序—缺拍—心跳—撞击—绝对寂静</x:v>
      </x:c>
      <x:c r="G15" s="35" t="str">
        <x:v>不单独生成；作为下游约束</x:v>
      </x:c>
      <x:c r="H15" s="35" t="str">
        <x:v>建议采用</x:v>
      </x:c>
      <x:c r="I15" s="35" t="str">
        <x:v>随对应P0资产或第二批生产包制作</x:v>
      </x:c>
    </x:row>
    <x:row r="16" ht="42" customHeight="1">
      <x:c r="A16" s="35" t="str">
        <x:v>ASR-REL-P1-012-唯一可读文字</x:v>
      </x:c>
      <x:c r="B16" s="35" t="str">
        <x:v>REL</x:v>
      </x:c>
      <x:c r="C16" s="35" t="str">
        <x:v>唯一可读文字</x:v>
      </x:c>
      <x:c r="D16" s="35" t="str">
        <x:v>P1</x:v>
      </x:c>
      <x:c r="E16" s="35" t="str">
        <x:v>20、26</x:v>
      </x:c>
      <x:c r="F16" s="35" t="str">
        <x:v>仅《阿修罗》清晰可读</x:v>
      </x:c>
      <x:c r="G16" s="35" t="str">
        <x:v>不单独生成；作为下游约束</x:v>
      </x:c>
      <x:c r="H16" s="35" t="str">
        <x:v>建议采用</x:v>
      </x:c>
      <x:c r="I16" s="35" t="str">
        <x:v>随对应P0资产或第二批生产包制作</x:v>
      </x:c>
    </x:row>
    <x:row r="17" ht="42" customHeight="1">
      <x:c r="A17" s="35" t="str">
        <x:v>ASR-REL-P1-013-青绿唯一生命色</x:v>
      </x:c>
      <x:c r="B17" s="35" t="str">
        <x:v>REL</x:v>
      </x:c>
      <x:c r="C17" s="35" t="str">
        <x:v>青绿唯一生命色</x:v>
      </x:c>
      <x:c r="D17" s="35" t="str">
        <x:v>P1</x:v>
      </x:c>
      <x:c r="E17" s="35" t="str">
        <x:v>全片</x:v>
      </x:c>
      <x:c r="F17" s="35" t="str">
        <x:v>所有时代色低于青绿叶的视觉权重</x:v>
      </x:c>
      <x:c r="G17" s="35" t="str">
        <x:v>不单独生成；作为下游约束</x:v>
      </x:c>
      <x:c r="H17" s="35" t="str">
        <x:v>建议采用</x:v>
      </x:c>
      <x:c r="I17" s="35" t="str">
        <x:v>随对应P0资产或第二批生产包制作</x:v>
      </x:c>
    </x:row>
    <x:row r="18" ht="42" customHeight="1">
      <x:c r="A18" s="35" t="str">
        <x:v>ASR-REL-P1-014-群像秩序与去复制</x:v>
      </x:c>
      <x:c r="B18" s="35" t="str">
        <x:v>REL</x:v>
      </x:c>
      <x:c r="C18" s="35" t="str">
        <x:v>群像秩序与去复制</x:v>
      </x:c>
      <x:c r="D18" s="35" t="str">
        <x:v>P1</x:v>
      </x:c>
      <x:c r="E18" s="35" t="str">
        <x:v>03、07、21、25、28-29</x:v>
      </x:c>
      <x:c r="F18" s="35" t="str">
        <x:v>统一秩序中保留真实个体差异</x:v>
      </x:c>
      <x:c r="G18" s="35" t="str">
        <x:v>不单独生成；作为下游约束</x:v>
      </x:c>
      <x:c r="H18" s="35" t="str">
        <x:v>建议采用</x:v>
      </x:c>
      <x:c r="I18" s="35" t="str">
        <x:v>随对应P0资产或第二批生产包制作</x:v>
      </x:c>
    </x:row>
  </x:sheetData>
  <x:mergeCells>
    <x:mergeCell ref="A1:I1"/>
    <x:mergeCell ref="A2:I2"/>
  </x:mergeCells>
  <x:conditionalFormatting sqref="D5:D18">
    <x:cfRule type="containsText" dxfId="10" priority="1" operator="containsText" text="P0"/>
  </x:conditionalFormatting>
  <x:pageMargins left="0.7" right="0.7" top="0.75" bottom="0.75" header="0.3" footer="0.3"/>
  <x:tableParts count="1">
    <x:tablePart xmlns:r="http://schemas.openxmlformats.org/officeDocument/2006/relationships" r:id="R8b23de095a8447f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4" hidden="0" customWidth="1"/>
    <x:col min="3" max="3" width="26" hidden="0" customWidth="1"/>
    <x:col min="4" max="4" width="14" hidden="0" customWidth="1"/>
    <x:col min="5" max="5" width="34" hidden="0" customWidth="1"/>
    <x:col min="6" max="6" width="12" hidden="0" customWidth="1"/>
    <x:col min="7" max="7" width="34" hidden="0" customWidth="1"/>
    <x:col min="8" max="8" width="22" hidden="0" customWidth="1"/>
    <x:col min="9" max="9" width="16" hidden="0" customWidth="1"/>
    <x:col min="10" max="10" width="30" hidden="0" customWidth="1"/>
    <x:col min="11" max="11" width="14" hidden="0" customWidth="1"/>
    <x:col min="12" max="12" width="30" hidden="0" customWidth="1"/>
    <x:col min="13" max="13" width="34" hidden="0" customWidth="1"/>
    <x:col min="14" max="14" width="16" hidden="0" customWidth="1"/>
    <x:col min="15" max="15" width="26" hidden="0" customWidth="1"/>
  </x:cols>
  <x:sheetData>
    <x:row r="1" ht="30" customHeight="1">
      <x:c r="A1" s="19" t="str">
        <x:v>场景视图需求与确认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</x:row>
    <x:row r="2" ht="22" customHeight="1">
      <x:c r="A2" s="6" t="str">
        <x:v>《阿修罗》阶段1｜v1.0（正式锁定版）｜生成日期 2026-07-12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</x:row>
    <x:row r="4" ht="30" customHeight="1">
      <x:c r="A4" s="31" t="str">
        <x:v>场景生产资产ID</x:v>
      </x:c>
      <x:c r="B4" s="32" t="str">
        <x:v>场景名称</x:v>
      </x:c>
      <x:c r="C4" s="32" t="str">
        <x:v>视图ID前缀</x:v>
      </x:c>
      <x:c r="D4" s="32" t="str">
        <x:v>视图需求等级建议</x:v>
      </x:c>
      <x:c r="E4" s="32" t="str">
        <x:v>建议原因</x:v>
      </x:c>
      <x:c r="F4" s="32" t="str">
        <x:v>母图是否必需</x:v>
      </x:c>
      <x:c r="G4" s="32" t="str">
        <x:v>指定必需视图</x:v>
      </x:c>
      <x:c r="H4" s="32" t="str">
        <x:v>建议补充视图</x:v>
      </x:c>
      <x:c r="I4" s="32" t="str">
        <x:v>是否建议标准五视图</x:v>
      </x:c>
      <x:c r="J4" s="32" t="str">
        <x:v>阶段3可能追加专项视图</x:v>
      </x:c>
      <x:c r="K4" s="32" t="str">
        <x:v>用户确认等级</x:v>
      </x:c>
      <x:c r="L4" s="32" t="str">
        <x:v>用户确认视图清单</x:v>
      </x:c>
      <x:c r="M4" s="32" t="str">
        <x:v>用户确认视图ID清单</x:v>
      </x:c>
      <x:c r="N4" s="32" t="str">
        <x:v>确认状态</x:v>
      </x:c>
      <x:c r="O4" s="33" t="str">
        <x:v>备注</x:v>
      </x:c>
    </x:row>
    <x:row r="5" ht="42" customHeight="1">
      <x:c r="A5" s="34" t="str">
        <x:v>ASR-SCN-P0-001-佛国远山寺宇</x:v>
      </x:c>
      <x:c r="B5" s="34" t="str">
        <x:v>佛国远山寺宇</x:v>
      </x:c>
      <x:c r="C5" s="34" t="str">
        <x:v>ASR-SCN-P0-001-V</x:v>
      </x:c>
      <x:c r="D5" s="34" t="str">
        <x:v>SV0</x:v>
      </x:c>
      <x:c r="E5" s="34" t="str">
        <x:v>只承担远景建立</x:v>
      </x:c>
      <x:c r="F5" s="34" t="str">
        <x:v>是</x:v>
      </x:c>
      <x:c r="G5" s="34" t="str">
        <x:v>MASTER</x:v>
      </x:c>
      <x:c r="H5" s="34" t="str"/>
      <x:c r="I5" s="34" t="str">
        <x:v>否</x:v>
      </x:c>
      <x:c r="J5" s="34" t="str">
        <x:v>无</x:v>
      </x:c>
      <x:c r="K5" s="34" t="str">
        <x:v>SV0</x:v>
      </x:c>
      <x:c r="L5" s="34" t="str">
        <x:v>MASTER</x:v>
      </x:c>
      <x:c r="M5" s="34" t="str">
        <x:v>ASR-SCN-P0-001-V-MASTER</x:v>
      </x:c>
      <x:c r="N5" s="34" t="str">
        <x:v>已确认</x:v>
      </x:c>
      <x:c r="O5" s="34" t="str">
        <x:v>不批量制作方向视图</x:v>
      </x:c>
    </x:row>
    <x:row r="6" ht="42" customHeight="1">
      <x:c r="A6" s="35" t="str">
        <x:v>ASR-SCN-P0-002-殿内修行空间</x:v>
      </x:c>
      <x:c r="B6" s="35" t="str">
        <x:v>殿内修行空间</x:v>
      </x:c>
      <x:c r="C6" s="35" t="str">
        <x:v>ASR-SCN-P0-002-V</x:v>
      </x:c>
      <x:c r="D6" s="35" t="str">
        <x:v>SV1-lite</x:v>
      </x:c>
      <x:c r="E6" s="35" t="str">
        <x:v>需恢复殿内—殿门客观轴线</x:v>
      </x:c>
      <x:c r="F6" s="35" t="str">
        <x:v>是</x:v>
      </x:c>
      <x:c r="G6" s="35" t="str">
        <x:v>MASTER; AXIS-DOOR; HERO-POS</x:v>
      </x:c>
      <x:c r="H6" s="35" t="str"/>
      <x:c r="I6" s="35" t="str">
        <x:v>否</x:v>
      </x:c>
      <x:c r="J6" s="35" t="str">
        <x:v>阶段3镜头专项机位</x:v>
      </x:c>
      <x:c r="K6" s="35" t="str">
        <x:v>SV1-lite</x:v>
      </x:c>
      <x:c r="L6" s="35" t="str">
        <x:v>MASTER; AXIS-DOOR; HERO-POS</x:v>
      </x:c>
      <x:c r="M6" s="35" t="str">
        <x:v>ASR-SCN-P0-002-V-MASTER; ASR-SCN-P0-002-V-AXIS-DOOR; ASR-SCN-P0-002-V-HERO-POS</x:v>
      </x:c>
      <x:c r="N6" s="35" t="str">
        <x:v>已确认</x:v>
      </x:c>
      <x:c r="O6" s="35" t="str">
        <x:v>只做剧情关系切片</x:v>
      </x:c>
    </x:row>
    <x:row r="7" ht="42" customHeight="1">
      <x:c r="A7" s="35" t="str">
        <x:v>ASR-SCN-P0-003-殿门庭院树下讲经一体场景</x:v>
      </x:c>
      <x:c r="B7" s="35" t="str">
        <x:v>殿门庭院树下讲经一体场景</x:v>
      </x:c>
      <x:c r="C7" s="35" t="str">
        <x:v>ASR-SCN-P0-003-V</x:v>
      </x:c>
      <x:c r="D7" s="35" t="str">
        <x:v>SV1-lite</x:v>
      </x:c>
      <x:c r="E7" s="35" t="str">
        <x:v>殿门—树下轴线和落叶源头必须稳定</x:v>
      </x:c>
      <x:c r="F7" s="35" t="str">
        <x:v>是</x:v>
      </x:c>
      <x:c r="G7" s="35" t="str">
        <x:v>MASTER; AXIS-TREE; BRANCH</x:v>
      </x:c>
      <x:c r="H7" s="35" t="str"/>
      <x:c r="I7" s="35" t="str">
        <x:v>否</x:v>
      </x:c>
      <x:c r="J7" s="35" t="str">
        <x:v>阶段3镜头专项机位</x:v>
      </x:c>
      <x:c r="K7" s="35" t="str">
        <x:v>SV1-lite</x:v>
      </x:c>
      <x:c r="L7" s="35" t="str">
        <x:v>MASTER; AXIS-TREE; BRANCH</x:v>
      </x:c>
      <x:c r="M7" s="35" t="str">
        <x:v>ASR-SCN-P0-003-V-MASTER; ASR-SCN-P0-003-V-AXIS-TREE; ASR-SCN-P0-003-V-BRANCH</x:v>
      </x:c>
      <x:c r="N7" s="35" t="str">
        <x:v>已确认</x:v>
      </x:c>
      <x:c r="O7" s="35" t="str">
        <x:v>不制作标准五视图</x:v>
      </x:c>
    </x:row>
    <x:row r="8" ht="42" customHeight="1">
      <x:c r="A8" s="35" t="str">
        <x:v>ASR-SCN-P1-004-黑暗掌心空间</x:v>
      </x:c>
      <x:c r="B8" s="35" t="str">
        <x:v>黑暗掌心空间</x:v>
      </x:c>
      <x:c r="C8" s="35" t="str">
        <x:v>ASR-SCN-P1-004-V</x:v>
      </x:c>
      <x:c r="D8" s="35" t="str">
        <x:v>SV0</x:v>
      </x:c>
      <x:c r="E8" s="35" t="str">
        <x:v>单方向近景底板</x:v>
      </x:c>
      <x:c r="F8" s="35" t="str">
        <x:v>是</x:v>
      </x:c>
      <x:c r="G8" s="35" t="str">
        <x:v>MASTER</x:v>
      </x:c>
      <x:c r="H8" s="35" t="str"/>
      <x:c r="I8" s="35" t="str">
        <x:v>否</x:v>
      </x:c>
      <x:c r="J8" s="35" t="str">
        <x:v>掌心微距按镜头制作</x:v>
      </x:c>
      <x:c r="K8" s="35" t="str">
        <x:v>SV0</x:v>
      </x:c>
      <x:c r="L8" s="35" t="str">
        <x:v>MASTER</x:v>
      </x:c>
      <x:c r="M8" s="35" t="str">
        <x:v>ASR-SCN-P1-004-V-MASTER</x:v>
      </x:c>
      <x:c r="N8" s="35" t="str">
        <x:v>已确认</x:v>
      </x:c>
      <x:c r="O8" s="35" t="str"/>
    </x:row>
    <x:row r="9" ht="42" customHeight="1">
      <x:c r="A9" s="35" t="str">
        <x:v>ASR-SCN-P1-005-王府深院</x:v>
      </x:c>
      <x:c r="B9" s="35" t="str">
        <x:v>王府深院</x:v>
      </x:c>
      <x:c r="C9" s="35" t="str">
        <x:v>ASR-SCN-P1-005-V</x:v>
      </x:c>
      <x:c r="D9" s="35" t="str">
        <x:v>SV1-lite</x:v>
      </x:c>
      <x:c r="E9" s="35" t="str">
        <x:v>人群边缘与越众目光需要关系切片</x:v>
      </x:c>
      <x:c r="F9" s="35" t="str">
        <x:v>是</x:v>
      </x:c>
      <x:c r="G9" s="35" t="str">
        <x:v>MASTER; CROWD-EDGE</x:v>
      </x:c>
      <x:c r="H9" s="35" t="str"/>
      <x:c r="I9" s="35" t="str">
        <x:v>否</x:v>
      </x:c>
      <x:c r="J9" s="35" t="str">
        <x:v>阶段3镜头专项机位</x:v>
      </x:c>
      <x:c r="K9" s="35" t="str">
        <x:v>SV1-lite</x:v>
      </x:c>
      <x:c r="L9" s="35" t="str">
        <x:v>MASTER; CROWD-EDGE</x:v>
      </x:c>
      <x:c r="M9" s="35" t="str">
        <x:v>ASR-SCN-P1-005-V-MASTER; ASR-SCN-P1-005-V-CROWD-EDGE</x:v>
      </x:c>
      <x:c r="N9" s="35" t="str">
        <x:v>已确认</x:v>
      </x:c>
      <x:c r="O9" s="35" t="str"/>
    </x:row>
    <x:row r="10" ht="42" customHeight="1">
      <x:c r="A10" s="35" t="str">
        <x:v>ASR-SCN-P1-006-灯下内室</x:v>
      </x:c>
      <x:c r="B10" s="35" t="str">
        <x:v>灯下内室</x:v>
      </x:c>
      <x:c r="C10" s="35" t="str">
        <x:v>ASR-SCN-P1-006-V</x:v>
      </x:c>
      <x:c r="D10" s="35" t="str">
        <x:v>SV1-lite</x:v>
      </x:c>
      <x:c r="E10" s="35" t="str">
        <x:v>相握动作与琴声空间关系</x:v>
      </x:c>
      <x:c r="F10" s="35" t="str">
        <x:v>是</x:v>
      </x:c>
      <x:c r="G10" s="35" t="str">
        <x:v>MASTER; HANDS-REL</x:v>
      </x:c>
      <x:c r="H10" s="35" t="str"/>
      <x:c r="I10" s="35" t="str">
        <x:v>否</x:v>
      </x:c>
      <x:c r="J10" s="35" t="str">
        <x:v>阶段3镜头专项机位</x:v>
      </x:c>
      <x:c r="K10" s="35" t="str">
        <x:v>SV1-lite</x:v>
      </x:c>
      <x:c r="L10" s="35" t="str">
        <x:v>MASTER; HANDS-REL</x:v>
      </x:c>
      <x:c r="M10" s="35" t="str">
        <x:v>ASR-SCN-P1-006-V-MASTER; ASR-SCN-P1-006-V-HANDS-REL</x:v>
      </x:c>
      <x:c r="N10" s="35" t="str">
        <x:v>已确认</x:v>
      </x:c>
      <x:c r="O10" s="35" t="str"/>
    </x:row>
    <x:row r="11" ht="42" customHeight="1">
      <x:c r="A11" s="35" t="str">
        <x:v>ASR-SCN-P1-007-帘后目击空间</x:v>
      </x:c>
      <x:c r="B11" s="35" t="str">
        <x:v>帘后目击空间</x:v>
      </x:c>
      <x:c r="C11" s="35" t="str">
        <x:v>ASR-SCN-P1-007-V</x:v>
      </x:c>
      <x:c r="D11" s="35" t="str">
        <x:v>SV1-lite</x:v>
      </x:c>
      <x:c r="E11" s="35" t="str">
        <x:v>帘后遮挡与递簪方向</x:v>
      </x:c>
      <x:c r="F11" s="35" t="str">
        <x:v>是</x:v>
      </x:c>
      <x:c r="G11" s="35" t="str">
        <x:v>MASTER; CURTAIN-REL</x:v>
      </x:c>
      <x:c r="H11" s="35" t="str"/>
      <x:c r="I11" s="35" t="str">
        <x:v>否</x:v>
      </x:c>
      <x:c r="J11" s="35" t="str">
        <x:v>阶段3镜头专项机位</x:v>
      </x:c>
      <x:c r="K11" s="35" t="str">
        <x:v>SV1-lite</x:v>
      </x:c>
      <x:c r="L11" s="35" t="str">
        <x:v>MASTER; CURTAIN-REL</x:v>
      </x:c>
      <x:c r="M11" s="35" t="str">
        <x:v>ASR-SCN-P1-007-V-MASTER; ASR-SCN-P1-007-V-CURTAIN-REL</x:v>
      </x:c>
      <x:c r="N11" s="35" t="str">
        <x:v>已确认</x:v>
      </x:c>
      <x:c r="O11" s="35" t="str"/>
    </x:row>
    <x:row r="12" ht="42" customHeight="1">
      <x:c r="A12" s="35" t="str">
        <x:v>ASR-SCN-P1-008-宫廷垂帘大殿</x:v>
      </x:c>
      <x:c r="B12" s="35" t="str">
        <x:v>宫廷垂帘大殿</x:v>
      </x:c>
      <x:c r="C12" s="35" t="str">
        <x:v>ASR-SCN-P1-008-V</x:v>
      </x:c>
      <x:c r="D12" s="35" t="str">
        <x:v>SV1-lite</x:v>
      </x:c>
      <x:c r="E12" s="35" t="str">
        <x:v>高位群臣与案台动作均需可读</x:v>
      </x:c>
      <x:c r="F12" s="35" t="str">
        <x:v>是</x:v>
      </x:c>
      <x:c r="G12" s="35" t="str">
        <x:v>MASTER; HIGH-SEAT; DESK-REL</x:v>
      </x:c>
      <x:c r="H12" s="35" t="str"/>
      <x:c r="I12" s="35" t="str">
        <x:v>否</x:v>
      </x:c>
      <x:c r="J12" s="35" t="str">
        <x:v>阶段3镜头专项机位</x:v>
      </x:c>
      <x:c r="K12" s="35" t="str">
        <x:v>SV1-lite</x:v>
      </x:c>
      <x:c r="L12" s="35" t="str">
        <x:v>MASTER; HIGH-SEAT; DESK-REL</x:v>
      </x:c>
      <x:c r="M12" s="35" t="str">
        <x:v>ASR-SCN-P1-008-V-MASTER; ASR-SCN-P1-008-V-HIGH-SEAT; ASR-SCN-P1-008-V-DESK-REL</x:v>
      </x:c>
      <x:c r="N12" s="35" t="str">
        <x:v>已确认</x:v>
      </x:c>
      <x:c r="O12" s="35" t="str"/>
    </x:row>
    <x:row r="13" ht="42" customHeight="1">
      <x:c r="A13" s="35" t="str">
        <x:v>ASR-SCN-P1-009-盛唐驿站终局空间</x:v>
      </x:c>
      <x:c r="B13" s="35" t="str">
        <x:v>盛唐驿站终局空间</x:v>
      </x:c>
      <x:c r="C13" s="35" t="str">
        <x:v>ASR-SCN-P1-009-V</x:v>
      </x:c>
      <x:c r="D13" s="35" t="str">
        <x:v>SV1-lite</x:v>
      </x:c>
      <x:c r="E13" s="35" t="str">
        <x:v>女主、军队压力与出口方向</x:v>
      </x:c>
      <x:c r="F13" s="35" t="str">
        <x:v>是</x:v>
      </x:c>
      <x:c r="G13" s="35" t="str">
        <x:v>MASTER; PRESSURE-REL</x:v>
      </x:c>
      <x:c r="H13" s="35" t="str"/>
      <x:c r="I13" s="35" t="str">
        <x:v>否</x:v>
      </x:c>
      <x:c r="J13" s="35" t="str">
        <x:v>阶段3镜头专项机位</x:v>
      </x:c>
      <x:c r="K13" s="35" t="str">
        <x:v>SV1-lite</x:v>
      </x:c>
      <x:c r="L13" s="35" t="str">
        <x:v>MASTER; PRESSURE-REL</x:v>
      </x:c>
      <x:c r="M13" s="35" t="str">
        <x:v>ASR-SCN-P1-009-V-MASTER; ASR-SCN-P1-009-V-PRESSURE-REL</x:v>
      </x:c>
      <x:c r="N13" s="35" t="str">
        <x:v>已确认</x:v>
      </x:c>
      <x:c r="O13" s="35" t="str">
        <x:v>尘土暑热，不使用风雪</x:v>
      </x:c>
    </x:row>
    <x:row r="14" ht="42" customHeight="1">
      <x:c r="A14" s="35" t="str">
        <x:v>ASR-SCN-P1-010-风雪反噬空间</x:v>
      </x:c>
      <x:c r="B14" s="35" t="str">
        <x:v>风雪反噬空间</x:v>
      </x:c>
      <x:c r="C14" s="35" t="str">
        <x:v>ASR-SCN-P1-010-V</x:v>
      </x:c>
      <x:c r="D14" s="35" t="str">
        <x:v>SV0</x:v>
      </x:c>
      <x:c r="E14" s="35" t="str">
        <x:v>边塞/归途快闪环境</x:v>
      </x:c>
      <x:c r="F14" s="35" t="str">
        <x:v>是</x:v>
      </x:c>
      <x:c r="G14" s="35" t="str">
        <x:v>MASTER</x:v>
      </x:c>
      <x:c r="H14" s="35" t="str"/>
      <x:c r="I14" s="35" t="str">
        <x:v>否</x:v>
      </x:c>
      <x:c r="J14" s="35" t="str">
        <x:v>无</x:v>
      </x:c>
      <x:c r="K14" s="35" t="str">
        <x:v>SV0</x:v>
      </x:c>
      <x:c r="L14" s="35" t="str">
        <x:v>MASTER</x:v>
      </x:c>
      <x:c r="M14" s="35" t="str">
        <x:v>ASR-SCN-P1-010-V-MASTER</x:v>
      </x:c>
      <x:c r="N14" s="35" t="str">
        <x:v>已确认</x:v>
      </x:c>
      <x:c r="O14" s="35" t="str">
        <x:v>不与盛唐驿站混用</x:v>
      </x:c>
    </x:row>
    <x:row r="15" ht="42" customHeight="1">
      <x:c r="A15" s="35" t="str">
        <x:v>ASR-SCN-P2-011-空床内室</x:v>
      </x:c>
      <x:c r="B15" s="35" t="str">
        <x:v>空床内室</x:v>
      </x:c>
      <x:c r="C15" s="35" t="str">
        <x:v>ASR-SCN-P2-011-V</x:v>
      </x:c>
      <x:c r="D15" s="35" t="str">
        <x:v>SV0</x:v>
      </x:c>
      <x:c r="E15" s="35" t="str">
        <x:v>单一短促叠化</x:v>
      </x:c>
      <x:c r="F15" s="35" t="str">
        <x:v>是</x:v>
      </x:c>
      <x:c r="G15" s="35" t="str">
        <x:v>MASTER</x:v>
      </x:c>
      <x:c r="H15" s="35" t="str"/>
      <x:c r="I15" s="35" t="str">
        <x:v>否</x:v>
      </x:c>
      <x:c r="J15" s="35" t="str">
        <x:v>无</x:v>
      </x:c>
      <x:c r="K15" s="35" t="str">
        <x:v>SV0</x:v>
      </x:c>
      <x:c r="L15" s="35" t="str">
        <x:v>MASTER</x:v>
      </x:c>
      <x:c r="M15" s="35" t="str">
        <x:v>ASR-SCN-P2-011-V-MASTER</x:v>
      </x:c>
      <x:c r="N15" s="35" t="str">
        <x:v>已确认</x:v>
      </x:c>
      <x:c r="O15" s="35" t="str"/>
    </x:row>
    <x:row r="16" ht="42" customHeight="1">
      <x:c r="A16" s="35" t="str">
        <x:v>ASR-SCN-P0-012-佛前归来空间状态</x:v>
      </x:c>
      <x:c r="B16" s="35" t="str">
        <x:v>佛前归来空间状态</x:v>
      </x:c>
      <x:c r="C16" s="35" t="str">
        <x:v>ASR-SCN-P0-012-V</x:v>
      </x:c>
      <x:c r="D16" s="35" t="str">
        <x:v>SV0复用</x:v>
      </x:c>
      <x:c r="E16" s="35" t="str">
        <x:v>复用SCN003庭院骨架</x:v>
      </x:c>
      <x:c r="F16" s="35" t="str">
        <x:v>否</x:v>
      </x:c>
      <x:c r="G16" s="35" t="str">
        <x:v>REUSE-SCN003</x:v>
      </x:c>
      <x:c r="H16" s="35" t="str"/>
      <x:c r="I16" s="35" t="str">
        <x:v>否</x:v>
      </x:c>
      <x:c r="J16" s="35" t="str">
        <x:v>只重做剪影/占位/光影</x:v>
      </x:c>
      <x:c r="K16" s="35" t="str">
        <x:v>SV0复用</x:v>
      </x:c>
      <x:c r="L16" s="35" t="str">
        <x:v>REUSE-SCN003</x:v>
      </x:c>
      <x:c r="M16" s="35" t="str">
        <x:v>ASR-SCN-P0-003-V-MASTER; ASR-SCN-P0-003-V-AXIS-TREE</x:v>
      </x:c>
      <x:c r="N16" s="35" t="str">
        <x:v>已确认</x:v>
      </x:c>
      <x:c r="O16" s="35" t="str">
        <x:v>不生成独立母图</x:v>
      </x:c>
    </x:row>
    <x:row r="17" ht="42" customHeight="1">
      <x:c r="A17" s="35" t="str">
        <x:v>ASR-SCN-P2-013-流放长路</x:v>
      </x:c>
      <x:c r="B17" s="35" t="str">
        <x:v>流放长路</x:v>
      </x:c>
      <x:c r="C17" s="35" t="str">
        <x:v>ASR-SCN-P2-013-V</x:v>
      </x:c>
      <x:c r="D17" s="35" t="str">
        <x:v>SV0</x:v>
      </x:c>
      <x:c r="E17" s="35" t="str">
        <x:v>低频短促快闪</x:v>
      </x:c>
      <x:c r="F17" s="35" t="str">
        <x:v>是</x:v>
      </x:c>
      <x:c r="G17" s="35" t="str">
        <x:v>MASTER</x:v>
      </x:c>
      <x:c r="H17" s="35" t="str"/>
      <x:c r="I17" s="35" t="str">
        <x:v>否</x:v>
      </x:c>
      <x:c r="J17" s="35" t="str">
        <x:v>无</x:v>
      </x:c>
      <x:c r="K17" s="35" t="str">
        <x:v>SV0</x:v>
      </x:c>
      <x:c r="L17" s="35" t="str">
        <x:v>MASTER</x:v>
      </x:c>
      <x:c r="M17" s="35" t="str">
        <x:v>ASR-SCN-P2-013-V-MASTER</x:v>
      </x:c>
      <x:c r="N17" s="35" t="str">
        <x:v>已确认</x:v>
      </x:c>
      <x:c r="O17" s="35" t="str"/>
    </x:row>
  </x:sheetData>
  <x:mergeCells>
    <x:mergeCell ref="A1:O1"/>
    <x:mergeCell ref="A2:O2"/>
  </x:mergeCells>
  <x:dataValidations count="2">
    <x:dataValidation type="list" sqref="D5:D17">
      <x:formula1>"SV0,SV1-lite,SV0复用"</x:formula1>
    </x:dataValidation>
    <x:dataValidation type="list" sqref="K5:K17">
      <x:formula1>"SV0,SV1-lite,SV0复用"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4406727cb646d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16" hidden="0" customWidth="1"/>
    <x:col min="4" max="4" width="42" hidden="0" customWidth="1"/>
    <x:col min="5" max="5" width="26" hidden="0" customWidth="1"/>
    <x:col min="6" max="6" width="24" hidden="0" customWidth="1"/>
    <x:col min="7" max="7" width="34" hidden="0" customWidth="1"/>
    <x:col min="8" max="8" width="30" hidden="0" customWidth="1"/>
    <x:col min="9" max="9" width="34" hidden="0" customWidth="1"/>
    <x:col min="10" max="10" width="28" hidden="0" customWidth="1"/>
    <x:col min="11" max="11" width="20" hidden="0" customWidth="1"/>
    <x:col min="12" max="12" width="18" hidden="0" customWidth="1"/>
  </x:cols>
  <x:sheetData>
    <x:row r="1" ht="30" customHeight="1">
      <x:c r="A1" s="19" t="str">
        <x:v>资产生产包与审批门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 ht="22" customHeight="1">
      <x:c r="A2" s="6" t="str">
        <x:v>《阿修罗》阶段1｜v1.0（正式锁定版）｜生成日期 2026-07-12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0" customHeight="1">
      <x:c r="A4" s="31" t="str">
        <x:v>生产包编号</x:v>
      </x:c>
      <x:c r="B4" s="32" t="str">
        <x:v>名称</x:v>
      </x:c>
      <x:c r="C4" s="32" t="str">
        <x:v>覆盖镜头</x:v>
      </x:c>
      <x:c r="D4" s="32" t="str">
        <x:v>包含资产</x:v>
      </x:c>
      <x:c r="E4" s="32" t="str">
        <x:v>阶段2执行小组</x:v>
      </x:c>
      <x:c r="F4" s="32" t="str">
        <x:v>前置依赖</x:v>
      </x:c>
      <x:c r="G4" s="32" t="str">
        <x:v>审批门</x:v>
      </x:c>
      <x:c r="H4" s="32" t="str">
        <x:v>交付形态</x:v>
      </x:c>
      <x:c r="I4" s="32" t="str">
        <x:v>完成条件</x:v>
      </x:c>
      <x:c r="J4" s="32" t="str">
        <x:v>阻断项</x:v>
      </x:c>
      <x:c r="K4" s="32" t="str">
        <x:v>可并行生产包</x:v>
      </x:c>
      <x:c r="L4" s="33" t="str">
        <x:v>后续生产包</x:v>
      </x:c>
    </x:row>
    <x:row r="5" ht="42" customHeight="1">
      <x:c r="A5" s="34" t="str">
        <x:v>ASR-PKG-01</x:v>
      </x:c>
      <x:c r="B5" s="34" t="str">
        <x:v>全片视觉基准与女主身份</x:v>
      </x:c>
      <x:c r="C5" s="34" t="str">
        <x:v>全片</x:v>
      </x:c>
      <x:c r="D5" s="34" t="str">
        <x:v>CHR001; CST001/002/014; REL001/003/013</x:v>
      </x:c>
      <x:c r="E5" s="34" t="str">
        <x:v>阶段2A风格组;人物资产组</x:v>
      </x:c>
      <x:c r="F5" s="34" t="str">
        <x:v>佛国年龄/天国口径已确认; CFM-015</x:v>
      </x:c>
      <x:c r="G5" s="34" t="str">
        <x:v>风格验证;女主身份候选;手部锚点验证</x:v>
      </x:c>
      <x:c r="H5" s="34" t="str">
        <x:v>女主四组基准资产</x:v>
      </x:c>
      <x:c r="I5" s="34" t="str">
        <x:v>佛国20—22岁且跨状态为同一演员</x:v>
      </x:c>
      <x:c r="J5" s="34" t="str">
        <x:v>阶段2候选审批门</x:v>
      </x:c>
      <x:c r="K5" s="34" t="str">
        <x:v>PKG-02</x:v>
      </x:c>
      <x:c r="L5" s="34" t="str">
        <x:v>PKG-06</x:v>
      </x:c>
    </x:row>
    <x:row r="6" ht="42" customHeight="1">
      <x:c r="A6" s="35" t="str">
        <x:v>ASR-PKG-02</x:v>
      </x:c>
      <x:c r="B6" s="35" t="str">
        <x:v>女主声纹与全片声音母题</x:v>
      </x:c>
      <x:c r="C6" s="35" t="str">
        <x:v>01-30</x:v>
      </x:c>
      <x:c r="D6" s="35" t="str">
        <x:v>VOI001-003; SND001-016; REL011</x:v>
      </x:c>
      <x:c r="E6" s="35" t="str">
        <x:v>声音资产组</x:v>
      </x:c>
      <x:c r="F6" s="35" t="str">
        <x:v>阶段2先出女主音色Prompt</x:v>
      </x:c>
      <x:c r="G6" s="35" t="str">
        <x:v>声纹验证;镜头声音Prompt验证</x:v>
      </x:c>
      <x:c r="H6" s="35" t="str">
        <x:v>女主独立声纹;佛声/众声镜头Prompt;声音母题</x:v>
      </x:c>
      <x:c r="I6" s="35" t="str">
        <x:v>秩序到寂静可调用</x:v>
      </x:c>
      <x:c r="J6" s="35" t="str">
        <x:v>女主声纹缺失仅阻断最终映射</x:v>
      </x:c>
      <x:c r="K6" s="35" t="str">
        <x:v>PKG-01/03/04</x:v>
      </x:c>
      <x:c r="L6" s="35" t="str">
        <x:v>PKG-09</x:v>
      </x:c>
    </x:row>
    <x:row r="7" ht="42" customHeight="1">
      <x:c r="A7" s="35" t="str">
        <x:v>ASR-PKG-03</x:v>
      </x:c>
      <x:c r="B7" s="35" t="str">
        <x:v>佛、群像与佛国人物秩序</x:v>
      </x:c>
      <x:c r="C7" s="35" t="str">
        <x:v>03/07/10-15/29</x:v>
      </x:c>
      <x:c r="D7" s="35" t="str">
        <x:v>CHR002; CRO001/002/005; REL004/014</x:v>
      </x:c>
      <x:c r="E7" s="35" t="str">
        <x:v>人物资产组;群演配置组</x:v>
      </x:c>
      <x:c r="F7" s="35" t="str">
        <x:v>CFM-002</x:v>
      </x:c>
      <x:c r="G7" s="35" t="str">
        <x:v>局部人物验证;去复制验证</x:v>
      </x:c>
      <x:c r="H7" s="35" t="str">
        <x:v>佛局部与群像配置</x:v>
      </x:c>
      <x:c r="I7" s="35" t="str">
        <x:v>佛无正脸、群像不复制</x:v>
      </x:c>
      <x:c r="J7" s="35" t="str">
        <x:v>服饰口径未定</x:v>
      </x:c>
      <x:c r="K7" s="35" t="str">
        <x:v>PKG-04</x:v>
      </x:c>
      <x:c r="L7" s="35" t="str">
        <x:v>PKG-04</x:v>
      </x:c>
    </x:row>
    <x:row r="8" ht="42" customHeight="1">
      <x:c r="A8" s="35" t="str">
        <x:v>ASR-PKG-04</x:v>
      </x:c>
      <x:c r="B8" s="35" t="str">
        <x:v>佛国空间、视图与主光</x:v>
      </x:c>
      <x:c r="C8" s="35" t="str">
        <x:v>02-18/29</x:v>
      </x:c>
      <x:c r="D8" s="35" t="str">
        <x:v>SCN001/002/003/012; LGT001-004/010; REL005</x:v>
      </x:c>
      <x:c r="E8" s="35" t="str">
        <x:v>场景资产组;光影组</x:v>
      </x:c>
      <x:c r="F8" s="35" t="str">
        <x:v>CFM-002/005/007</x:v>
      </x:c>
      <x:c r="G8" s="35" t="str">
        <x:v>母图;剧情关系切片;光影确认</x:v>
      </x:c>
      <x:c r="H8" s="35" t="str">
        <x:v>P0场景母图和必要关系视图</x:v>
      </x:c>
      <x:c r="I8" s="35" t="str">
        <x:v>客观轴线可追溯，归来复用庭院骨架</x:v>
      </x:c>
      <x:c r="J8" s="35" t="str">
        <x:v>按已锁定SV0/SV1-lite执行</x:v>
      </x:c>
      <x:c r="K8" s="35" t="str">
        <x:v>PKG-03/05</x:v>
      </x:c>
      <x:c r="L8" s="35" t="str">
        <x:v>PKG-05/09</x:v>
      </x:c>
    </x:row>
    <x:row r="9" ht="42" customHeight="1">
      <x:c r="A9" s="35" t="str">
        <x:v>ASR-PKG-05</x:v>
      </x:c>
      <x:c r="B9" s="35" t="str">
        <x:v>核心道具与关键VFX技术测试</x:v>
      </x:c>
      <x:c r="C9" s="35" t="str">
        <x:v>01/04/08-20/29</x:v>
      </x:c>
      <x:c r="D9" s="35" t="str">
        <x:v>PRP001/003; VFX001-005/010; REL002/006-009</x:v>
      </x:c>
      <x:c r="E9" s="35" t="str">
        <x:v>道具组;VFX测试组</x:v>
      </x:c>
      <x:c r="F9" s="35" t="str">
        <x:v>CFM-003/004</x:v>
      </x:c>
      <x:c r="G9" s="35" t="str">
        <x:v>道具标准图;手部接触;VFX模板</x:v>
      </x:c>
      <x:c r="H9" s="35" t="str">
        <x:v>念珠/落叶与关键模板</x:v>
      </x:c>
      <x:c r="I9" s="35" t="str">
        <x:v>无手崩、叶形漂移、神迹化</x:v>
      </x:c>
      <x:c r="J9" s="35" t="str">
        <x:v>P0身份/场景未就绪</x:v>
      </x:c>
      <x:c r="K9" s="35" t="str">
        <x:v>PKG-03/04</x:v>
      </x:c>
      <x:c r="L9" s="35" t="str">
        <x:v>PKG-09</x:v>
      </x:c>
    </x:row>
    <x:row r="10" ht="42" customHeight="1">
      <x:c r="A10" s="35" t="str">
        <x:v>ASR-PKG-06</x:v>
      </x:c>
      <x:c r="B10" s="35" t="str">
        <x:v>女主轮回状态组</x:v>
      </x:c>
      <x:c r="C10" s="35" t="str">
        <x:v>21-29</x:v>
      </x:c>
      <x:c r="D10" s="35" t="str">
        <x:v>CST003-013; REL001/013</x:v>
      </x:c>
      <x:c r="E10" s="35" t="str">
        <x:v>人物资产组;服装造型组</x:v>
      </x:c>
      <x:c r="F10" s="35" t="str">
        <x:v>PKG-01;轮回设计表;阶段2A色彩</x:v>
      </x:c>
      <x:c r="G10" s="35" t="str">
        <x:v>身份;年龄;服装时代;连续九镜验证</x:v>
      </x:c>
      <x:c r="H10" s="35" t="str">
        <x:v>11项匿名轮回状态</x:v>
      </x:c>
      <x:c r="I10" s="35" t="str">
        <x:v>同脸、年龄正确、服装无时代误用</x:v>
      </x:c>
      <x:c r="J10" s="35" t="str">
        <x:v>阶段2身份候选审批门</x:v>
      </x:c>
      <x:c r="K10" s="35" t="str">
        <x:v>PKG-07</x:v>
      </x:c>
      <x:c r="L10" s="35" t="str">
        <x:v>PKG-09</x:v>
      </x:c>
    </x:row>
    <x:row r="11" ht="42" customHeight="1">
      <x:c r="A11" s="35" t="str">
        <x:v>ASR-PKG-07</x:v>
      </x:c>
      <x:c r="B11" s="35" t="str">
        <x:v>轮回关系人物、场景、光影与群演</x:v>
      </x:c>
      <x:c r="C11" s="35" t="str">
        <x:v>21-28</x:v>
      </x:c>
      <x:c r="D11" s="35" t="str">
        <x:v>CHR003/004; SCN005-011/013; LGT006-009; CRO003/004/006</x:v>
      </x:c>
      <x:c r="E11" s="35" t="str">
        <x:v>场景组;配角组;群演组</x:v>
      </x:c>
      <x:c r="F11" s="35" t="str">
        <x:v>CFM-006;轮回设计表</x:v>
      </x:c>
      <x:c r="G11" s="35" t="str">
        <x:v>母图;时代语汇;关系切片;规模确认</x:v>
      </x:c>
      <x:c r="H11" s="35" t="str">
        <x:v>分时代轮回场景与人物配置</x:v>
      </x:c>
      <x:c r="I11" s="35" t="str">
        <x:v>可承载动作接力且不出现跨时代建筑</x:v>
      </x:c>
      <x:c r="J11" s="35" t="str">
        <x:v>按已锁定SV0/SV1-lite执行</x:v>
      </x:c>
      <x:c r="K11" s="35" t="str">
        <x:v>PKG-06/08</x:v>
      </x:c>
      <x:c r="L11" s="35" t="str">
        <x:v>PKG-09</x:v>
      </x:c>
    </x:row>
    <x:row r="12" ht="42" customHeight="1">
      <x:c r="A12" s="35" t="str">
        <x:v>ASR-PKG-08</x:v>
      </x:c>
      <x:c r="B12" s="35" t="str">
        <x:v>轮回叙事道具与后果VFX</x:v>
      </x:c>
      <x:c r="C12" s="35" t="str">
        <x:v>23-28</x:v>
      </x:c>
      <x:c r="D12" s="35" t="str">
        <x:v>PRP004-010; SYM002; VFX006-008</x:v>
      </x:c>
      <x:c r="E12" s="35" t="str">
        <x:v>道具组;VFX测试组</x:v>
      </x:c>
      <x:c r="F12" s="35" t="str">
        <x:v>PKG-06/07</x:v>
      </x:c>
      <x:c r="G12" s="35" t="str">
        <x:v>形制;手部接触;快闪强度</x:v>
      </x:c>
      <x:c r="H12" s="35" t="str">
        <x:v>叙事道具与后果模板</x:v>
      </x:c>
      <x:c r="I12" s="35" t="str">
        <x:v>可读但不血腥酷刑化</x:v>
      </x:c>
      <x:c r="J12" s="35" t="str">
        <x:v>关系切片未就绪</x:v>
      </x:c>
      <x:c r="K12" s="35" t="str">
        <x:v>PKG-06/07</x:v>
      </x:c>
      <x:c r="L12" s="35" t="str">
        <x:v>PKG-09</x:v>
      </x:c>
    </x:row>
    <x:row r="13" ht="42" customHeight="1">
      <x:c r="A13" s="35" t="str">
        <x:v>ASR-PKG-09</x:v>
      </x:c>
      <x:c r="B13" s="35" t="str">
        <x:v>片名、动作匹配切与高潮总装验证</x:v>
      </x:c>
      <x:c r="C13" s="35" t="str">
        <x:v>20-30</x:v>
      </x:c>
      <x:c r="D13" s="35" t="str">
        <x:v>SYM001; VFX009; SCN004; LGT005; REL010/012;上游确认资产</x:v>
      </x:c>
      <x:c r="E13" s="35" t="str">
        <x:v>阶段2装配组</x:v>
      </x:c>
      <x:c r="F13" s="35" t="str">
        <x:v>PKG-01/02/05/06/07/08</x:v>
      </x:c>
      <x:c r="G13" s="35" t="str">
        <x:v>片名;动作接力;声画节奏;归来终验</x:v>
      </x:c>
      <x:c r="H13" s="35" t="str">
        <x:v>高潮综合参考</x:v>
      </x:c>
      <x:c r="I13" s="35" t="str">
        <x:v>前慢后快末凝固</x:v>
      </x:c>
      <x:c r="J13" s="35" t="str">
        <x:v>上游未通过</x:v>
      </x:c>
      <x:c r="K13" s="35" t="str"/>
      <x:c r="L13" s="35" t="str">
        <x:v>阶段3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b645cd1f8dee407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38" hidden="0" customWidth="1"/>
    <x:col min="4" max="4" width="10" hidden="0" customWidth="1"/>
    <x:col min="5" max="5" width="28" hidden="0" customWidth="1"/>
    <x:col min="6" max="6" width="14" hidden="0" customWidth="1"/>
    <x:col min="7" max="7" width="42" hidden="0" customWidth="1"/>
    <x:col min="8" max="8" width="42" hidden="0" customWidth="1"/>
    <x:col min="9" max="9" width="32" hidden="0" customWidth="1"/>
    <x:col min="10" max="10" width="52" hidden="0" customWidth="1"/>
  </x:cols>
  <x:sheetData>
    <x:row r="1" ht="30" customHeight="1">
      <x:c r="A1" s="19" t="str">
        <x:v>轮回年龄、服装与建筑设计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 ht="22" customHeight="1">
      <x:c r="A2" s="6" t="str">
        <x:v>《阿修罗》阶段1｜v1.0（正式锁定版）｜生成日期 2026-07-12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 ht="30" customHeight="1">
      <x:c r="A4" s="31" t="str">
        <x:v>设计ID</x:v>
      </x:c>
      <x:c r="B4" s="32" t="str">
        <x:v>匿名设计切片</x:v>
      </x:c>
      <x:c r="C4" s="32" t="str">
        <x:v>关联状态资产</x:v>
      </x:c>
      <x:c r="D4" s="32" t="str">
        <x:v>镜头</x:v>
      </x:c>
      <x:c r="E4" s="32" t="str">
        <x:v>时间/事件语汇</x:v>
      </x:c>
      <x:c r="F4" s="32" t="str">
        <x:v>生产年龄</x:v>
      </x:c>
      <x:c r="G4" s="32" t="str">
        <x:v>服装锁定</x:v>
      </x:c>
      <x:c r="H4" s="32" t="str">
        <x:v>建筑/场景锁定</x:v>
      </x:c>
      <x:c r="I4" s="32" t="str">
        <x:v>置信度与限制</x:v>
      </x:c>
      <x:c r="J4" s="33" t="str">
        <x:v>研究来源URL</x:v>
      </x:c>
    </x:row>
    <x:row r="5" ht="42" customHeight="1">
      <x:c r="A5" s="34" t="str">
        <x:v>ASR-HST-001</x:v>
      </x:c>
      <x:c r="B5" s="34" t="str">
        <x:v>宗室王府少女切片</x:v>
      </x:c>
      <x:c r="C5" s="34" t="str">
        <x:v>ASR-CST-P1-003-女主王府少女</x:v>
      </x:c>
      <x:c r="D5" s="34" t="str">
        <x:v>21</x:v>
      </x:c>
      <x:c r="E5" s="34" t="str">
        <x:v>明代中后期宗室王府语汇</x:v>
      </x:c>
      <x:c r="F5" s="34" t="str">
        <x:v>16—18</x:v>
      </x:c>
      <x:c r="G5" s="34" t="str">
        <x:v>宗室少女常服；交领或对襟上衣、长裙、克制披风或比甲</x:v>
      </x:c>
      <x:c r="H5" s="34" t="str">
        <x:v>木构王府深院、灰瓦、回廊、门影</x:v>
      </x:c>
      <x:c r="I5" s="34" t="str">
        <x:v>创作锁定</x:v>
      </x:c>
      <x:c r="J5" s="34" t="str">
        <x:v>https://www.chnmuseum.cn/yj/fsyjlt/fslt2022_1327/</x:v>
      </x:c>
    </x:row>
    <x:row r="6" ht="42" customHeight="1">
      <x:c r="A6" s="35" t="str">
        <x:v>ASR-HST-002</x:v>
      </x:c>
      <x:c r="B6" s="35" t="str">
        <x:v>晚明江南城市女性切片</x:v>
      </x:c>
      <x:c r="C6" s="35" t="str">
        <x:v>ASR-CST-P1-005-女主帘后目击</x:v>
      </x:c>
      <x:c r="D6" s="35" t="str">
        <x:v>23</x:v>
      </x:c>
      <x:c r="E6" s="35" t="str">
        <x:v>晚明江南城市语汇</x:v>
      </x:c>
      <x:c r="F6" s="35" t="str">
        <x:v>18—23</x:v>
      </x:c>
      <x:c r="G6" s="35" t="str">
        <x:v>窄袖上衣、长裙、少量精细发饰；不宫廷化</x:v>
      </x:c>
      <x:c r="H6" s="35" t="str">
        <x:v>江南木构内室、格扇、帘幕、湿润空气</x:v>
      </x:c>
      <x:c r="I6" s="35" t="str">
        <x:v>创作锁定</x:v>
      </x:c>
      <x:c r="J6" s="35" t="str">
        <x:v>https://www.dpm.org.cn/paints/talk/205978.html</x:v>
      </x:c>
    </x:row>
    <x:row r="7" ht="42" customHeight="1">
      <x:c r="A7" s="35" t="str">
        <x:v>ASR-HST-003</x:v>
      </x:c>
      <x:c r="B7" s="35" t="str">
        <x:v>七世纪末女性最高统治者切片</x:v>
      </x:c>
      <x:c r="C7" s="35" t="str">
        <x:v>ASR-CST-P1-007-女主宫廷掌权</x:v>
      </x:c>
      <x:c r="D7" s="35" t="str">
        <x:v>25</x:v>
      </x:c>
      <x:c r="E7" s="35" t="str">
        <x:v>七世纪末最高统治者状态</x:v>
      </x:c>
      <x:c r="F7" s="35" t="str">
        <x:v>66</x:v>
      </x:c>
      <x:c r="G7" s="35" t="str">
        <x:v>最高统治者仪式服；宽袍大袖、庄重冠饰</x:v>
      </x:c>
      <x:c r="H7" s="35" t="str">
        <x:v>大型都城宫廷；中央高台与四方配殿</x:v>
      </x:c>
      <x:c r="I7" s="35" t="str">
        <x:v>事件年龄可确定</x:v>
      </x:c>
      <x:c r="J7" s="35" t="str">
        <x:v>https://www.zgbk.com/ecph/words?Name=%E6%AD%A6%E5%88%99%E5%A4%A9&amp;SiteID=1&amp;SourceID=528530&amp;Type=bkzyb&amp;subSourceType=000003000001000002</x:v>
      </x:c>
    </x:row>
    <x:row r="8" ht="42" customHeight="1">
      <x:c r="A8" s="35" t="str">
        <x:v>ASR-HST-004</x:v>
      </x:c>
      <x:c r="B8" s="35" t="str">
        <x:v>西汉初皇太后权力切片</x:v>
      </x:c>
      <x:c r="C8" s="35" t="str">
        <x:v>ASR-CST-P1-008-女主冷静报复</x:v>
      </x:c>
      <x:c r="D8" s="35" t="str">
        <x:v>26</x:v>
      </x:c>
      <x:c r="E8" s="35" t="str">
        <x:v>西汉初皇太后权力状态</x:v>
      </x:c>
      <x:c r="F8" s="35" t="str">
        <x:v>45—50</x:v>
      </x:c>
      <x:c r="G8" s="35" t="str">
        <x:v>皇太后级深衣或宽袍；暗色丝织、克制纹样</x:v>
      </x:c>
      <x:c r="H8" s="35" t="str">
        <x:v>夯土高台、木构殿、漆木案几</x:v>
      </x:c>
      <x:c r="I8" s="35" t="str">
        <x:v>生年不详；生产年龄估计</x:v>
      </x:c>
      <x:c r="J8" s="35" t="str">
        <x:v>https://www.zgbk.com/ecph/words?Name=%E5%90%95%E5%90%8E&amp;SiteID=1&amp;SourceID=553774&amp;Type=bkzyb&amp;subSourceType=000003000006000002</x:v>
      </x:c>
    </x:row>
    <x:row r="9" ht="42" customHeight="1">
      <x:c r="A9" s="35" t="str">
        <x:v>ASR-HST-005</x:v>
      </x:c>
      <x:c r="B9" s="35" t="str">
        <x:v>盛唐驿站终局切片</x:v>
      </x:c>
      <x:c r="C9" s="35" t="str">
        <x:v>ASR-CST-P1-009-女主反噬失去</x:v>
      </x:c>
      <x:c r="D9" s="35" t="str">
        <x:v>27</x:v>
      </x:c>
      <x:c r="E9" s="35" t="str">
        <x:v>盛唐终局驿站事件</x:v>
      </x:c>
      <x:c r="F9" s="35" t="str">
        <x:v>37</x:v>
      </x:c>
      <x:c r="G9" s="35" t="str">
        <x:v>成熟盛唐高等级女性出行服；高腰长裙、半臂或披帛，低饱和</x:v>
      </x:c>
      <x:c r="H9" s="35" t="str">
        <x:v>驿站道路；尘土、暑热、军队压力</x:v>
      </x:c>
      <x:c r="I9" s="35" t="str">
        <x:v>事件年龄可确定</x:v>
      </x:c>
      <x:c r="J9" s="35" t="str">
        <x:v>https://www.chinamuseum.org.cn/cma/detail.html?contentId=7682&amp;id=13</x:v>
      </x:c>
    </x:row>
    <x:row r="10" ht="42" customHeight="1">
      <x:c r="A10" s="35" t="str">
        <x:v>ASR-HST-006</x:v>
      </x:c>
      <x:c r="B10" s="35" t="str">
        <x:v>清初皇位危机切片</x:v>
      </x:c>
      <x:c r="C10" s="35" t="str">
        <x:v>ASR-CST-P1-012-女主刀锋临身</x:v>
      </x:c>
      <x:c r="D10" s="35" t="str">
        <x:v>28</x:v>
      </x:c>
      <x:c r="E10" s="35" t="str">
        <x:v>清初皇位继承危机</x:v>
      </x:c>
      <x:c r="F10" s="35" t="str">
        <x:v>30</x:v>
      </x:c>
      <x:c r="G10" s="35" t="str">
        <x:v>清初满蒙宫廷服；直身、窄袖；禁晚清大拉翅与氅衣</x:v>
      </x:c>
      <x:c r="H10" s="35" t="str">
        <x:v>清初宫廷议政空间</x:v>
      </x:c>
      <x:c r="I10" s="35" t="str">
        <x:v>事件年龄可确定；刀锋为象征</x:v>
      </x:c>
      <x:c r="J10" s="35" t="str">
        <x:v>https://www.dpm.org.cn/court/figure/102754.html</x:v>
      </x:c>
    </x:row>
    <x:row r="11" ht="42" customHeight="1">
      <x:c r="A11" s="35" t="str">
        <x:v>ASR-HST-007</x:v>
      </x:c>
      <x:c r="B11" s="35" t="str">
        <x:v>西汉临邛琴声爱情切片</x:v>
      </x:c>
      <x:c r="C11" s="35" t="str">
        <x:v>ASR-CST-P1-004-女主灯下相爱</x:v>
      </x:c>
      <x:c r="D11" s="35" t="str">
        <x:v>22</x:v>
      </x:c>
      <x:c r="E11" s="35" t="str">
        <x:v>西汉临邛琴声与夜奔语汇</x:v>
      </x:c>
      <x:c r="F11" s="35" t="str">
        <x:v>20—25</x:v>
      </x:c>
      <x:c r="G11" s="35" t="str">
        <x:v>西汉富商家庭女性深衣或袍服；发式简净</x:v>
      </x:c>
      <x:c r="H11" s="35" t="str">
        <x:v>临邛富户内室或庭院；漆木、帷帐、席地案几</x:v>
      </x:c>
      <x:c r="I11" s="35" t="str">
        <x:v>生年不可靠；生产年龄范围</x:v>
      </x:c>
      <x:c r="J11" s="35" t="str">
        <x:v>https://ctext.org/shiji/si-ma-xiang-ru-lie-zhuan/zhs</x:v>
      </x:c>
    </x:row>
    <x:row r="12" ht="42" customHeight="1">
      <x:c r="A12" s="35" t="str">
        <x:v>ASR-HST-008</x:v>
      </x:c>
      <x:c r="B12" s="35" t="str">
        <x:v>西汉前91年宫廷终局切片</x:v>
      </x:c>
      <x:c r="C12" s="35" t="str">
        <x:v>ASR-CST-P1-010-女主白绫末路</x:v>
      </x:c>
      <x:c r="D12" s="35" t="str">
        <x:v>28</x:v>
      </x:c>
      <x:c r="E12" s="35" t="str">
        <x:v>西汉前91年宫廷终局</x:v>
      </x:c>
      <x:c r="F12" s="35" t="str">
        <x:v>50—60</x:v>
      </x:c>
      <x:c r="G12" s="35" t="str">
        <x:v>晚年皇后级袍服；降低装饰与肤色饱和度</x:v>
      </x:c>
      <x:c r="H12" s="35" t="str">
        <x:v>西汉都城宫廷内殿系统</x:v>
      </x:c>
      <x:c r="I12" s="35" t="str">
        <x:v>生年不详；白绫仅为象征</x:v>
      </x:c>
      <x:c r="J12" s="35" t="str">
        <x:v>https://ctext.org/han-shu/wai-qi-zhuan-shang/zhs</x:v>
      </x:c>
    </x:row>
    <x:row r="13" ht="42" customHeight="1">
      <x:c r="A13" s="35" t="str">
        <x:v>ASR-HST-009</x:v>
      </x:c>
      <x:c r="B13" s="35" t="str">
        <x:v>东汉边塞归途切片</x:v>
      </x:c>
      <x:c r="C13" s="35" t="str">
        <x:v>ASR-CST-P1-011-女主流放长路</x:v>
      </x:c>
      <x:c r="D13" s="35" t="str">
        <x:v>28</x:v>
      </x:c>
      <x:c r="E13" s="35" t="str">
        <x:v>东汉207年边塞归途</x:v>
      </x:c>
      <x:c r="F13" s="35" t="str">
        <x:v>30—38</x:v>
      </x:c>
      <x:c r="G13" s="35" t="str">
        <x:v>暖帽、绒裘、窄袖短衣、百褶长裙；汉地与草原服饰混合</x:v>
      </x:c>
      <x:c r="H13" s="35" t="str">
        <x:v>草原至边塞道路、马队、寒风与远山</x:v>
      </x:c>
      <x:c r="I13" s="35" t="str">
        <x:v>生年不详；生产年龄范围</x:v>
      </x:c>
      <x:c r="J13" s="35" t="str">
        <x:v>https://www.chnmuseum.cn/zp/zpml/ysp/202012/t20201216_248496_wap.shtml</x:v>
      </x:c>
    </x:row>
    <x:row r="14" ht="42" customHeight="1">
      <x:c r="A14" s="35" t="str">
        <x:v>ASR-HST-010</x:v>
      </x:c>
      <x:c r="B14" s="35" t="str">
        <x:v>西汉后期高等级宫廷女性切片</x:v>
      </x:c>
      <x:c r="C14" s="35" t="str">
        <x:v>ASR-CST-P1-006-女主妒恨执簪</x:v>
      </x:c>
      <x:c r="D14" s="35" t="str">
        <x:v>24</x:v>
      </x:c>
      <x:c r="E14" s="35" t="str">
        <x:v>西汉后期宫廷专宠状态</x:v>
      </x:c>
      <x:c r="F14" s="35" t="str">
        <x:v>28—35</x:v>
      </x:c>
      <x:c r="G14" s="35" t="str">
        <x:v>高等级汉代宫廷袍服；真实身形，不妖妃化</x:v>
      </x:c>
      <x:c r="H14" s="35" t="str">
        <x:v>朱红中庭、黑漆殿面、白玉阶与少量金玉细节</x:v>
      </x:c>
      <x:c r="I14" s="35" t="str">
        <x:v>生年不详；情绪为剧本映射</x:v>
      </x:c>
      <x:c r="J14" s="35" t="str">
        <x:v>https://ctext.org/han-shu/wai-qi-zhuan-xia/zhs</x:v>
      </x:c>
    </x:row>
    <x:row r="15" ht="42" customHeight="1">
      <x:c r="A15" s="35" t="str">
        <x:v>ASR-HST-011</x:v>
      </x:c>
      <x:c r="B15" s="35" t="str">
        <x:v>中晚唐女性入道切片</x:v>
      </x:c>
      <x:c r="C15" s="35" t="str">
        <x:v>ASR-CST-P1-013-女主千夫所指</x:v>
      </x:c>
      <x:c r="D15" s="35" t="str">
        <x:v>28</x:v>
      </x:c>
      <x:c r="E15" s="35" t="str">
        <x:v>中晚唐女性入道类型</x:v>
      </x:c>
      <x:c r="F15" s="35" t="str">
        <x:v>24—32</x:v>
      </x:c>
      <x:c r="G15" s="35" t="str">
        <x:v>层叠道袍、素色冠巾或道冠；不仙侠化</x:v>
      </x:c>
      <x:c r="H15" s="35" t="str">
        <x:v>唐代道观庭院、木石台阶、松影与廊庑</x:v>
      </x:c>
      <x:c r="I15" s="35" t="str">
        <x:v>创作锁定；非具体人物</x:v>
      </x:c>
      <x:c r="J15" s="35" t="str">
        <x:v>https://minghuaji-1259446244.cos.ap-beijing.myqcloud.com/article/2020/12/03/90a40f1af49f465ca9c4275fdecea181.pdf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53e50f733a8d4cd5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30" hidden="0" customWidth="1"/>
    <x:col min="4" max="4" width="44" hidden="0" customWidth="1"/>
    <x:col min="5" max="5" width="36" hidden="0" customWidth="1"/>
    <x:col min="6" max="6" width="18" hidden="0" customWidth="1"/>
  </x:cols>
  <x:sheetData>
    <x:row r="1" ht="30" customHeight="1">
      <x:c r="A1" s="19" t="str">
        <x:v>主创确认项清单</x:v>
      </x:c>
      <x:c r="B1" s="19"/>
      <x:c r="C1" s="19"/>
      <x:c r="D1" s="19"/>
      <x:c r="E1" s="19"/>
      <x:c r="F1" s="19"/>
    </x:row>
    <x:row r="2" ht="22" customHeight="1">
      <x:c r="A2" s="6" t="str">
        <x:v>《阿修罗》阶段1｜v1.0（正式锁定版）｜生成日期 2026-07-12</x:v>
      </x:c>
      <x:c r="B2" s="6"/>
      <x:c r="C2" s="6"/>
      <x:c r="D2" s="6"/>
      <x:c r="E2" s="6"/>
      <x:c r="F2" s="6"/>
    </x:row>
    <x:row r="4" ht="30" customHeight="1">
      <x:c r="A4" s="31" t="str">
        <x:v>编号</x:v>
      </x:c>
      <x:c r="B4" s="32" t="str">
        <x:v>优先级</x:v>
      </x:c>
      <x:c r="C4" s="32" t="str">
        <x:v>确认项</x:v>
      </x:c>
      <x:c r="D4" s="32" t="str">
        <x:v>阶段1建议</x:v>
      </x:c>
      <x:c r="E4" s="32" t="str">
        <x:v>不确认的影响</x:v>
      </x:c>
      <x:c r="F4" s="33" t="str">
        <x:v>状态</x:v>
      </x:c>
    </x:row>
    <x:row r="5" ht="42" customHeight="1">
      <x:c r="A5" s="34" t="str">
        <x:v>ASR-CFM-001</x:v>
      </x:c>
      <x:c r="B5" s="34" t="str">
        <x:v>P0</x:v>
      </x:c>
      <x:c r="C5" s="34" t="str">
        <x:v>佛国女主视觉年龄</x:v>
      </x:c>
      <x:c r="D5" s="34" t="str">
        <x:v>佛国段与镜头29锁定20—22岁；轮回年龄按历史时刻变化</x:v>
      </x:c>
      <x:c r="E5" s="34" t="str">
        <x:v>已回填角色与状态资产</x:v>
      </x:c>
      <x:c r="F5" s="34" t="str">
        <x:v>已确认</x:v>
      </x:c>
    </x:row>
    <x:row r="6" ht="42" customHeight="1">
      <x:c r="A6" s="35" t="str">
        <x:v>ASR-CFM-002</x:v>
      </x:c>
      <x:c r="B6" s="35" t="str">
        <x:v>P0</x:v>
      </x:c>
      <x:c r="C6" s="35" t="str">
        <x:v>佛国服装/建筑时代与地域口径</x:v>
      </x:c>
      <x:c r="D6" s="35" t="str">
        <x:v>不绑定朝代、地域或现实寺院；按天国意向和美学需求设计</x:v>
      </x:c>
      <x:c r="E6" s="35" t="str">
        <x:v>已回填佛国人物场景光影</x:v>
      </x:c>
      <x:c r="F6" s="35" t="str">
        <x:v>已确认</x:v>
      </x:c>
    </x:row>
    <x:row r="7" ht="42" customHeight="1">
      <x:c r="A7" s="35" t="str">
        <x:v>ASR-CFM-003</x:v>
      </x:c>
      <x:c r="B7" s="35" t="str">
        <x:v>P0</x:v>
      </x:c>
      <x:c r="C7" s="35" t="str">
        <x:v>念珠形制</x:v>
      </x:c>
      <x:c r="D7" s="35" t="str">
        <x:v>单珠10毫米；灰白哑光石/菩提质感与深棕檀木均可；Prompt不写精确珠数</x:v>
      </x:c>
      <x:c r="E7" s="35" t="str">
        <x:v>已回填道具卡和生成约束</x:v>
      </x:c>
      <x:c r="F7" s="35" t="str">
        <x:v>已确认</x:v>
      </x:c>
    </x:row>
    <x:row r="8" ht="42" customHeight="1">
      <x:c r="A8" s="35" t="str">
        <x:v>ASR-CFM-004</x:v>
      </x:c>
      <x:c r="B8" s="35" t="str">
        <x:v>P0</x:v>
      </x:c>
      <x:c r="C8" s="35" t="str">
        <x:v>青绿落叶叶形/树种弱化</x:v>
      </x:c>
      <x:c r="D8" s="35" t="str">
        <x:v>窄椭圆真实叶；不指向特定神树</x:v>
      </x:c>
      <x:c r="E8" s="35" t="str">
        <x:v>已回填叶片连续性约束</x:v>
      </x:c>
      <x:c r="F8" s="35" t="str">
        <x:v>已确认</x:v>
      </x:c>
    </x:row>
    <x:row r="9" ht="42" customHeight="1">
      <x:c r="A9" s="35" t="str">
        <x:v>ASR-CFM-005</x:v>
      </x:c>
      <x:c r="B9" s="35" t="str">
        <x:v>P0</x:v>
      </x:c>
      <x:c r="C9" s="35" t="str">
        <x:v>P0场景视图等级</x:v>
      </x:c>
      <x:c r="D9" s="35" t="str">
        <x:v>不做标准五视图；按SV0/SV1-lite生产剧情必需关系切片</x:v>
      </x:c>
      <x:c r="E9" s="35" t="str">
        <x:v>已回填场景视图表</x:v>
      </x:c>
      <x:c r="F9" s="35" t="str">
        <x:v>已确认</x:v>
      </x:c>
    </x:row>
    <x:row r="10" ht="42" customHeight="1">
      <x:c r="A10" s="35" t="str">
        <x:v>ASR-CFM-006</x:v>
      </x:c>
      <x:c r="B10" s="35" t="str">
        <x:v>P1</x:v>
      </x:c>
      <x:c r="C10" s="35" t="str">
        <x:v>轮回场景视图等级</x:v>
      </x:c>
      <x:c r="D10" s="35" t="str">
        <x:v>按剧情张力分配SV0/SV1-lite，不批量生产稳定场景视图</x:v>
      </x:c>
      <x:c r="E10" s="35" t="str">
        <x:v>已回填场景视图表</x:v>
      </x:c>
      <x:c r="F10" s="35" t="str">
        <x:v>已确认</x:v>
      </x:c>
    </x:row>
    <x:row r="11" ht="42" customHeight="1">
      <x:c r="A11" s="35" t="str">
        <x:v>ASR-CFM-007</x:v>
      </x:c>
      <x:c r="B11" s="35" t="str">
        <x:v>P0</x:v>
      </x:c>
      <x:c r="C11" s="35" t="str">
        <x:v>佛前归来空间复用</x:v>
      </x:c>
      <x:c r="D11" s="35" t="str">
        <x:v>复用SCN003庭院骨架，不生成独立母图；只重做剪影、占位与光影</x:v>
      </x:c>
      <x:c r="E11" s="35" t="str">
        <x:v>已回填SCN012空间状态</x:v>
      </x:c>
      <x:c r="F11" s="35" t="str">
        <x:v>已确认</x:v>
      </x:c>
    </x:row>
    <x:row r="12" ht="42" customHeight="1">
      <x:c r="A12" s="35" t="str">
        <x:v>ASR-CFM-008</x:v>
      </x:c>
      <x:c r="B12" s="35" t="str">
        <x:v>P0</x:v>
      </x:c>
      <x:c r="C12" s="35" t="str">
        <x:v>女主外部声纹平台与样本</x:v>
      </x:c>
      <x:c r="D12" s="35" t="str">
        <x:v>阶段2先交付音色资产Prompt；用户选择平台生成并回流</x:v>
      </x:c>
      <x:c r="E12" s="35" t="str">
        <x:v>只阻断最终声音映射</x:v>
      </x:c>
      <x:c r="F12" s="35" t="str">
        <x:v>已登记待阶段2Prompt</x:v>
      </x:c>
    </x:row>
    <x:row r="13" ht="42" customHeight="1">
      <x:c r="A13" s="35" t="str">
        <x:v>ASR-CFM-009</x:v>
      </x:c>
      <x:c r="B13" s="35" t="str">
        <x:v>P0</x:v>
      </x:c>
      <x:c r="C13" s="35" t="str">
        <x:v>镜头22弦乐属性</x:v>
      </x:c>
      <x:c r="D13" s="35" t="str">
        <x:v>画外但属于场内的同期琴声，不是配乐</x:v>
      </x:c>
      <x:c r="E13" s="35" t="str">
        <x:v>已写入西汉临邛琴声切片</x:v>
      </x:c>
      <x:c r="F13" s="35" t="str">
        <x:v>已确认</x:v>
      </x:c>
    </x:row>
    <x:row r="14" ht="42" customHeight="1">
      <x:c r="A14" s="35" t="str">
        <x:v>ASR-CFM-010</x:v>
      </x:c>
      <x:c r="B14" s="35" t="str">
        <x:v>P1</x:v>
      </x:c>
      <x:c r="C14" s="35" t="str">
        <x:v>片名字形方向</x:v>
      </x:c>
      <x:c r="D14" s="35" t="str">
        <x:v>灰白枯笔、无描金无发光；阶段2出3个候选</x:v>
      </x:c>
      <x:c r="E14" s="35" t="str">
        <x:v>已登记阶段2候选任务</x:v>
      </x:c>
      <x:c r="F14" s="35" t="str">
        <x:v>已确认</x:v>
      </x:c>
    </x:row>
    <x:row r="15" ht="42" customHeight="1">
      <x:c r="A15" s="35" t="str">
        <x:v>ASR-CFM-011</x:v>
      </x:c>
      <x:c r="B15" s="35" t="str">
        <x:v>P1</x:v>
      </x:c>
      <x:c r="C15" s="35" t="str">
        <x:v>佛前归来精神年龄</x:v>
      </x:c>
      <x:c r="D15" s="35" t="str">
        <x:v>恢复佛国20—22岁；精神重量用表演表达</x:v>
      </x:c>
      <x:c r="E15" s="35" t="str">
        <x:v>已回填CST014</x:v>
      </x:c>
      <x:c r="F15" s="35" t="str">
        <x:v>已确认</x:v>
      </x:c>
    </x:row>
    <x:row r="16" ht="42" customHeight="1">
      <x:c r="A16" s="35" t="str">
        <x:v>ASR-CFM-012</x:v>
      </x:c>
      <x:c r="B16" s="35" t="str">
        <x:v>P1</x:v>
      </x:c>
      <x:c r="C16" s="35" t="str">
        <x:v>诏书/印面文字策略</x:v>
      </x:c>
      <x:c r="D16" s="35" t="str">
        <x:v>不可辨虚构笔画与印面；不出现真实姓名、朝代或政权</x:v>
      </x:c>
      <x:c r="E16" s="35" t="str">
        <x:v>已回填文字资产约束</x:v>
      </x:c>
      <x:c r="F16" s="35" t="str">
        <x:v>已确认</x:v>
      </x:c>
    </x:row>
    <x:row r="17" ht="42" customHeight="1">
      <x:c r="A17" s="35" t="str">
        <x:v>ASR-CFM-013</x:v>
      </x:c>
      <x:c r="B17" s="35" t="str">
        <x:v>P1</x:v>
      </x:c>
      <x:c r="C17" s="35" t="str">
        <x:v>轮回资产匿名登记规则</x:v>
      </x:c>
      <x:c r="D17" s="35" t="str">
        <x:v>资产登记不带人物名字，只登记年龄、服装、建筑和时间语汇</x:v>
      </x:c>
      <x:c r="E17" s="35" t="str">
        <x:v>已建立11项匿名设计记录</x:v>
      </x:c>
      <x:c r="F17" s="35" t="str">
        <x:v>已确认</x:v>
      </x:c>
    </x:row>
    <x:row r="18" ht="42" customHeight="1">
      <x:c r="A18" s="35" t="str">
        <x:v>ASR-CFM-014</x:v>
      </x:c>
      <x:c r="B18" s="35" t="str">
        <x:v>P1</x:v>
      </x:c>
      <x:c r="C18" s="35" t="str">
        <x:v>镜头29口型回退</x:v>
      </x:c>
      <x:c r="D18" s="35" t="str">
        <x:v>轻口型不自然时改画外音</x:v>
      </x:c>
      <x:c r="E18" s="35" t="str">
        <x:v>可能出现口型失真</x:v>
      </x:c>
      <x:c r="F18" s="35" t="str">
        <x:v>已由锁定卡允许</x:v>
      </x:c>
    </x:row>
    <x:row r="19" ht="42" customHeight="1">
      <x:c r="A19" s="35" t="str">
        <x:v>ASR-CFM-015</x:v>
      </x:c>
      <x:c r="B19" s="35" t="str">
        <x:v>P0</x:v>
      </x:c>
      <x:c r="C19" s="35" t="str">
        <x:v>女主具体面部身份方向</x:v>
      </x:c>
      <x:c r="D19" s="35" t="str">
        <x:v>阶段2身份候选中确认脸型、眉骨、眼型、唇形和手部锚点</x:v>
      </x:c>
      <x:c r="E19" s="35" t="str">
        <x:v>已登记阶段2审批门</x:v>
      </x:c>
      <x:c r="F19" s="35" t="str">
        <x:v>已确认阶段2流程</x:v>
      </x:c>
    </x:row>
  </x:sheetData>
  <x:mergeCells>
    <x:mergeCell ref="A1:F1"/>
    <x:mergeCell ref="A2:F2"/>
  </x:mergeCells>
  <x:conditionalFormatting sqref="F5:F19">
    <x:cfRule type="containsText" dxfId="11" priority="1" operator="containsText" text="待"/>
  </x:conditionalFormatting>
  <x:dataValidations count="1">
    <x:dataValidation type="list" sqref="F5:F19">
      <x:formula1>"待主创确认,待外部回流,建议采用,已确认,修改后确认,已登记待阶段2Prompt,已由锁定卡允许,已确认阶段2流程"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d5727436ff4dfa"/>
  </x:tableParts>
</x:worksheet>
</file>