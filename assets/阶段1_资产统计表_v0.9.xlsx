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390" activeTab="12"/>
  </bookViews>
  <sheets>
    <sheet name="总览" sheetId="1" r:id="rId1"/>
    <sheet name="资产主表" sheetId="2" r:id="rId2"/>
    <sheet name="角色服装" sheetId="3" r:id="rId3"/>
    <sheet name="人物声音" sheetId="4" r:id="rId4"/>
    <sheet name="场景" sheetId="5" r:id="rId5"/>
    <sheet name="光影" sheetId="6" r:id="rId6"/>
    <sheet name="道具" sheetId="7" r:id="rId7"/>
    <sheet name="VFX群演文字" sheetId="8" r:id="rId8"/>
    <sheet name="声音母题" sheetId="9" r:id="rId9"/>
    <sheet name="连续性" sheetId="10" r:id="rId10"/>
    <sheet name="场景视图" sheetId="11" r:id="rId11"/>
    <sheet name="生产包" sheetId="12" r:id="rId12"/>
    <sheet name="主创确认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<sst xmlns="http://schemas.openxmlformats.org/spreadsheetml/2006/main" count="3118" uniqueCount="941">
  <si>
    <t>《阿修罗》阶段1资产统计总览</t>
  </si>
  <si>
    <t>正式母版：镜头01—30｜214秒｜102条生产记录｜v0.9（主创确认前）</t>
  </si>
  <si>
    <t>资产类型</t>
  </si>
  <si>
    <t>数量</t>
  </si>
  <si>
    <t>P0</t>
  </si>
  <si>
    <t>P1</t>
  </si>
  <si>
    <t>关键指标</t>
  </si>
  <si>
    <t>数值</t>
  </si>
  <si>
    <t>状态</t>
  </si>
  <si>
    <t>说明</t>
  </si>
  <si>
    <t>CHR</t>
  </si>
  <si>
    <t>生产记录总量</t>
  </si>
  <si>
    <t>已完成</t>
  </si>
  <si>
    <t>含14条REL关系记录</t>
  </si>
  <si>
    <t>CST</t>
  </si>
  <si>
    <t>视觉/声音生产资产</t>
  </si>
  <si>
    <t>不含REL</t>
  </si>
  <si>
    <t>VOI</t>
  </si>
  <si>
    <t>待主创确认项</t>
  </si>
  <si>
    <t>待确认</t>
  </si>
  <si>
    <t>确认后锁定v1.0</t>
  </si>
  <si>
    <t>SCN</t>
  </si>
  <si>
    <t>场景数量</t>
  </si>
  <si>
    <t>视图待确认</t>
  </si>
  <si>
    <t>详见场景视图表</t>
  </si>
  <si>
    <t>LGT</t>
  </si>
  <si>
    <t>生产包数量</t>
  </si>
  <si>
    <t>已规划</t>
  </si>
  <si>
    <t>PKG-01至PKG-09</t>
  </si>
  <si>
    <t>PRP</t>
  </si>
  <si>
    <t>VFX</t>
  </si>
  <si>
    <t>CRO</t>
  </si>
  <si>
    <t>SYM</t>
  </si>
  <si>
    <t>SND</t>
  </si>
  <si>
    <t>REL</t>
  </si>
  <si>
    <t>资产统计主表</t>
  </si>
  <si>
    <t>《阿修罗》阶段1｜v0.9（主创确认前）｜生成日期 2026-07-12</t>
  </si>
  <si>
    <t>生产资产ID</t>
  </si>
  <si>
    <t>资产名称</t>
  </si>
  <si>
    <t>资产级别</t>
  </si>
  <si>
    <t>剧本出处</t>
  </si>
  <si>
    <t>关联场次或段落</t>
  </si>
  <si>
    <t>基础描述</t>
  </si>
  <si>
    <t>补全设计信息</t>
  </si>
  <si>
    <t>状态变体</t>
  </si>
  <si>
    <t>材质结构或声音特点</t>
  </si>
  <si>
    <t>光影或环境要求</t>
  </si>
  <si>
    <t>使用或生成需求</t>
  </si>
  <si>
    <t>可复用范围</t>
  </si>
  <si>
    <t>信息来源</t>
  </si>
  <si>
    <t>确认状态</t>
  </si>
  <si>
    <t>阶段2处理建议</t>
  </si>
  <si>
    <t>ASR-CHR-P0-001-女主基础身份</t>
  </si>
  <si>
    <t>女主基础身份</t>
  </si>
  <si>
    <t>03-05、09-10、12-13、17-19、21-30</t>
  </si>
  <si>
    <t>镜头03-05、09-10、12-13、17-19、21-30</t>
  </si>
  <si>
    <t>跨千年同一面部身份；真实皮肤、克制表演、稳定手部锚点</t>
  </si>
  <si>
    <t>跨千年同一面部身份；真实皮肤、克制表演、稳定手部锚点；详见《资产卡索引》对应ID</t>
  </si>
  <si>
    <t>按资产卡要求生成基础态与必要关系切片</t>
  </si>
  <si>
    <t>真人写实、真实物理材质、低饱和；跨千年同一面部身份；真实皮肤、克制表演、稳定手部锚点</t>
  </si>
  <si>
    <t>继承所属场景已确认光影；不得临时创造神光或高饱和环境</t>
  </si>
  <si>
    <t>阶段2制作角色基础资产标准资产、必要视图/状态/声音样本与验证切片</t>
  </si>
  <si>
    <t>剧本明确;项目锁定;创作者建议</t>
  </si>
  <si>
    <t>待主创确认</t>
  </si>
  <si>
    <t>进入第一批或随P0共同依赖包制作；先验证后批量</t>
  </si>
  <si>
    <t>ASR-CHR-P0-002-佛非正面存在</t>
  </si>
  <si>
    <t>佛非正面存在</t>
  </si>
  <si>
    <t>07、11、15、29</t>
  </si>
  <si>
    <t>镜头07、11、15、29</t>
  </si>
  <si>
    <t>仅袈裟边缘、肩线、垂手和听众朝向；禁止正脸与私人凝视</t>
  </si>
  <si>
    <t>仅袈裟边缘、肩线、垂手和听众朝向；禁止正脸与私人凝视；详见《资产卡索引》对应ID</t>
  </si>
  <si>
    <t>真人写实、真实物理材质、低饱和；仅袈裟边缘、肩线、垂手和听众朝向；禁止正脸与私人凝视</t>
  </si>
  <si>
    <t>建议采用</t>
  </si>
  <si>
    <t>ASR-CHR-P1-003-轮回爱人模糊身份</t>
  </si>
  <si>
    <t>轮回爱人模糊身份</t>
  </si>
  <si>
    <t>22、27</t>
  </si>
  <si>
    <t>镜头22、27</t>
  </si>
  <si>
    <t>局部人影与手部；不抢女主身份</t>
  </si>
  <si>
    <t>局部人影与手部；不抢女主身份；详见《资产卡索引》对应ID</t>
  </si>
  <si>
    <t>真人写实、真实物理材质、低饱和；局部人影与手部；不抢女主身份</t>
  </si>
  <si>
    <t>随对应P0资产或第二批生产包制作</t>
  </si>
  <si>
    <t>ASR-CHR-P1-004-被取代女子</t>
  </si>
  <si>
    <t>被取代女子</t>
  </si>
  <si>
    <t>23</t>
  </si>
  <si>
    <t>镜头23</t>
  </si>
  <si>
    <t>局部侧影与递簪手部；不妖魔化情敌</t>
  </si>
  <si>
    <t>局部侧影与递簪手部；不妖魔化情敌；详见《资产卡索引》对应ID</t>
  </si>
  <si>
    <t>真人写实、真实物理材质、低饱和；局部侧影与递簪手部；不妖魔化情敌</t>
  </si>
  <si>
    <t>ASR-CST-P0-001-女主佛国比丘尼基础</t>
  </si>
  <si>
    <t>女主佛国比丘尼基础</t>
  </si>
  <si>
    <t>03-05、09-10、12-13、17-19</t>
  </si>
  <si>
    <t>镜头03-05、09-10、12-13、17-19</t>
  </si>
  <si>
    <t>简净低反光天然织物；盘坐与拨珠衣褶真实</t>
  </si>
  <si>
    <t>简净低反光天然织物；盘坐与拨珠衣褶真实；详见《资产卡索引》对应ID</t>
  </si>
  <si>
    <t>继承女主基础身份的独立状态变体</t>
  </si>
  <si>
    <t>真人写实、真实物理材质、低饱和；简净低反光天然织物；盘坐与拨珠衣褶真实</t>
  </si>
  <si>
    <t>阶段2制作服装/状态变体标准资产、必要视图/状态/声音样本与验证切片</t>
  </si>
  <si>
    <t>对应轮回镜头组</t>
  </si>
  <si>
    <t>剧本明确;项目锁定;合理推断</t>
  </si>
  <si>
    <t>ASR-CST-P0-002-女主被照见眼润状态</t>
  </si>
  <si>
    <t>女主被照见眼润状态</t>
  </si>
  <si>
    <t>09-12、17</t>
  </si>
  <si>
    <t>镜头09-12、17</t>
  </si>
  <si>
    <t>睫毛轻颤、瞳孔轻收、唇线微松、眼润无泪落</t>
  </si>
  <si>
    <t>睫毛轻颤、瞳孔轻收、唇线微松、眼润无泪落；详见《资产卡索引》对应ID</t>
  </si>
  <si>
    <t>真人写实、真实物理材质、低饱和；睫毛轻颤、瞳孔轻收、唇线微松、眼润无泪落</t>
  </si>
  <si>
    <t>ASR-CST-P1-003-女主王府少女</t>
  </si>
  <si>
    <t>女主王府少女</t>
  </si>
  <si>
    <t>21</t>
  </si>
  <si>
    <t>镜头21</t>
  </si>
  <si>
    <t>深院人群边缘；抬眼复现佛国安宁</t>
  </si>
  <si>
    <t>深院人群边缘；抬眼复现佛国安宁；详见《资产卡索引》对应ID</t>
  </si>
  <si>
    <t>真人写实、真实物理材质、低饱和；深院人群边缘；抬眼复现佛国安宁</t>
  </si>
  <si>
    <t>ASR-CST-P1-004-女主灯下相爱</t>
  </si>
  <si>
    <t>女主灯下相爱</t>
  </si>
  <si>
    <t>22</t>
  </si>
  <si>
    <t>镜头22</t>
  </si>
  <si>
    <t>短暂真实温柔；手部相握；不做爱情MV</t>
  </si>
  <si>
    <t>短暂真实温柔；手部相握；不做爱情MV；详见《资产卡索引》对应ID</t>
  </si>
  <si>
    <t>真人写实、真实物理材质、低饱和；短暂真实温柔；手部相握；不做爱情MV</t>
  </si>
  <si>
    <t>ASR-CST-P1-005-女主帘后目击</t>
  </si>
  <si>
    <t>女主帘后目击</t>
  </si>
  <si>
    <t>帘影后静止目击；无哭泣</t>
  </si>
  <si>
    <t>帘影后静止目击；无哭泣；详见《资产卡索引》对应ID</t>
  </si>
  <si>
    <t>真人写实、真实物理材质、低饱和；帘影后静止目击；无哭泣</t>
  </si>
  <si>
    <t>ASR-CST-P1-006-女主妒恨执簪</t>
  </si>
  <si>
    <t>女主妒恨执簪</t>
  </si>
  <si>
    <t>24</t>
  </si>
  <si>
    <t>镜头24</t>
  </si>
  <si>
    <t>指节发白、暗血色掌纹一闪；不魔化</t>
  </si>
  <si>
    <t>指节发白、暗血色掌纹一闪；不魔化；详见《资产卡索引》对应ID</t>
  </si>
  <si>
    <t>真人写实、真实物理材质、低饱和；指节发白、暗血色掌纹一闪；不魔化</t>
  </si>
  <si>
    <t>ASR-CST-P1-007-女主宫廷掌权</t>
  </si>
  <si>
    <t>女主宫廷掌权</t>
  </si>
  <si>
    <t>25</t>
  </si>
  <si>
    <t>镜头25</t>
  </si>
  <si>
    <t>垂帘高位仪式状态；权力来自空间</t>
  </si>
  <si>
    <t>垂帘高位仪式状态；权力来自空间；详见《资产卡索引》对应ID</t>
  </si>
  <si>
    <t>真人写实、真实物理材质、低饱和；垂帘高位仪式状态；权力来自空间</t>
  </si>
  <si>
    <t>ASR-CST-P1-008-女主冷静报复</t>
  </si>
  <si>
    <t>女主冷静报复</t>
  </si>
  <si>
    <t>26</t>
  </si>
  <si>
    <t>镜头26</t>
  </si>
  <si>
    <t>落印与推酒动作匹配；无愤怒大表情</t>
  </si>
  <si>
    <t>落印与推酒动作匹配；无愤怒大表情；详见《资产卡索引》对应ID</t>
  </si>
  <si>
    <t>真人写实、真实物理材质、低饱和；落印与推酒动作匹配；无愤怒大表情</t>
  </si>
  <si>
    <t>ASR-CST-P1-009-女主反噬失去</t>
  </si>
  <si>
    <t>女主反噬失去</t>
  </si>
  <si>
    <t>27</t>
  </si>
  <si>
    <t>镜头27</t>
  </si>
  <si>
    <t>宫门关闭前失去状态；风雪火光短叠</t>
  </si>
  <si>
    <t>宫门关闭前失去状态；风雪火光短叠；详见《资产卡索引》对应ID</t>
  </si>
  <si>
    <t>真人写实、真实物理材质、低饱和；宫门关闭前失去状态；风雪火光短叠</t>
  </si>
  <si>
    <t>ASR-CST-P1-010-女主白绫末路</t>
  </si>
  <si>
    <t>女主白绫末路</t>
  </si>
  <si>
    <t>28</t>
  </si>
  <si>
    <t>镜头28</t>
  </si>
  <si>
    <t>短曝光；失败前抬眼；不展示伤害过程</t>
  </si>
  <si>
    <t>短曝光；失败前抬眼；不展示伤害过程；详见《资产卡索引》对应ID</t>
  </si>
  <si>
    <t>真人写实、真实物理材质、低饱和；短曝光；失败前抬眼；不展示伤害过程</t>
  </si>
  <si>
    <t>ASR-CST-P1-011-女主流放长路</t>
  </si>
  <si>
    <t>女主流放长路</t>
  </si>
  <si>
    <t>风尘疲惫；年龄可变但身份不变</t>
  </si>
  <si>
    <t>风尘疲惫；年龄可变但身份不变；详见《资产卡索引》对应ID</t>
  </si>
  <si>
    <t>真人写实、真实物理材质、低饱和；风尘疲惫；年龄可变但身份不变</t>
  </si>
  <si>
    <t>ASR-CST-P1-012-女主刀锋临身</t>
  </si>
  <si>
    <t>女主刀锋临身</t>
  </si>
  <si>
    <t>刀锋局部与抬眼反应；无血腥</t>
  </si>
  <si>
    <t>刀锋局部与抬眼反应；无血腥；详见《资产卡索引》对应ID</t>
  </si>
  <si>
    <t>真人写实、真实物理材质、低饱和；刀锋局部与抬眼反应；无血腥</t>
  </si>
  <si>
    <t>ASR-CST-P1-013-女主千夫所指</t>
  </si>
  <si>
    <t>女主千夫所指</t>
  </si>
  <si>
    <t>人群压力下不甘抬眼；不指涉真实人物</t>
  </si>
  <si>
    <t>人群压力下不甘抬眼；不指涉真实人物；详见《资产卡索引》对应ID</t>
  </si>
  <si>
    <t>真人写实、真实物理材质、低饱和；人群压力下不甘抬眼；不指涉真实人物</t>
  </si>
  <si>
    <t>ASR-CST-P0-014-女主佛前归来</t>
  </si>
  <si>
    <t>女主佛前归来</t>
  </si>
  <si>
    <t>29</t>
  </si>
  <si>
    <t>镜头29</t>
  </si>
  <si>
    <t>最初面部身份；接叶、轻笑、合掌；叶片完好</t>
  </si>
  <si>
    <t>最初面部身份；接叶、轻笑、合掌；叶片完好；详见《资产卡索引》对应ID</t>
  </si>
  <si>
    <t>真人写实、真实物理材质、低饱和；最初面部身份；接叶、轻笑、合掌；叶片完好</t>
  </si>
  <si>
    <t>ASR-VOI-P0-001-女主千年同声纹</t>
  </si>
  <si>
    <t>女主千年同声纹</t>
  </si>
  <si>
    <t>05、10、19、29、30</t>
  </si>
  <si>
    <t>镜头05、10、19、29、30</t>
  </si>
  <si>
    <t>中低至中音域，清冷克制；VO与轻口型同声纹</t>
  </si>
  <si>
    <t>中低至中音域，清冷克制；VO与轻口型同声纹；详见《资产卡索引》对应ID</t>
  </si>
  <si>
    <t>阶段2制作人物/群体声音标准资产、必要视图/状态/声音样本与验证切片</t>
  </si>
  <si>
    <t>待外部回流</t>
  </si>
  <si>
    <t>ASR-VOI-P1-002-佛远讲经声</t>
  </si>
  <si>
    <t>佛远讲经声</t>
  </si>
  <si>
    <t>07、11</t>
  </si>
  <si>
    <t>镜头07、11</t>
  </si>
  <si>
    <t>隔距离，只听节律不清句子；无表演腔</t>
  </si>
  <si>
    <t>隔距离，只听节律不清句子；无表演腔；详见《资产卡索引》对应ID</t>
  </si>
  <si>
    <t>ASR-VOI-P1-003-众声低诵与问句</t>
  </si>
  <si>
    <t>众声低诵与问句</t>
  </si>
  <si>
    <t>28-29</t>
  </si>
  <si>
    <t>镜头28-29</t>
  </si>
  <si>
    <t>多声压成模糊问句与低诵；不突出单人</t>
  </si>
  <si>
    <t>多声压成模糊问句与低诵；不突出单人；详见《资产卡索引》对应ID</t>
  </si>
  <si>
    <t>ASR-SCN-P0-001-佛国远山寺宇</t>
  </si>
  <si>
    <t>佛国远山寺宇</t>
  </si>
  <si>
    <t>02、18</t>
  </si>
  <si>
    <t>镜头02、18</t>
  </si>
  <si>
    <t>真实山雾与低对比寺宇；天空占大部；无仙境神迹</t>
  </si>
  <si>
    <t>真实山雾与低对比寺宇；天空占大部；无仙境神迹；详见《资产卡索引》对应ID</t>
  </si>
  <si>
    <t>真人写实、真实物理材质、低饱和；真实山雾与低对比寺宇；天空占大部；无仙境神迹</t>
  </si>
  <si>
    <t>阶段2制作场景/地点标准资产、必要视图/状态/声音样本与验证切片</t>
  </si>
  <si>
    <t>剧本明确;合理推断;创作者建议</t>
  </si>
  <si>
    <t>ASR-SCN-P0-002-殿内修行空间</t>
  </si>
  <si>
    <t>殿内修行空间</t>
  </si>
  <si>
    <t>03-05、10-13、15、17-19</t>
  </si>
  <si>
    <t>镜头03-05、10-13、15、17-19</t>
  </si>
  <si>
    <t>女主偏后、比丘尼前侧、殿门通庭院；固定客观轴线</t>
  </si>
  <si>
    <t>女主偏后、比丘尼前侧、殿门通庭院；固定客观轴线；详见《资产卡索引》对应ID</t>
  </si>
  <si>
    <t>真人写实、真实物理材质、低饱和；女主偏后、比丘尼前侧、殿门通庭院；固定客观轴线</t>
  </si>
  <si>
    <t>ASR-SCN-P0-003-殿门庭院树下讲经一体场景</t>
  </si>
  <si>
    <t>殿门庭院树下讲经一体场景</t>
  </si>
  <si>
    <t>06-08、11、14-16、18</t>
  </si>
  <si>
    <t>镜头06-08、11、14-16、18</t>
  </si>
  <si>
    <t>门槛、庭院、树、讲经区与远山沿同一空间轴线</t>
  </si>
  <si>
    <t>门槛、庭院、树、讲经区与远山沿同一空间轴线；详见《资产卡索引》对应ID</t>
  </si>
  <si>
    <t>真人写实、真实物理材质、低饱和；门槛、庭院、树、讲经区与远山沿同一空间轴线</t>
  </si>
  <si>
    <t>ASR-SCN-P1-004-黑暗掌心空间</t>
  </si>
  <si>
    <t>黑暗掌心空间</t>
  </si>
  <si>
    <t>19</t>
  </si>
  <si>
    <t>镜头19</t>
  </si>
  <si>
    <t>近黑，只读出手、念珠和极弱反光</t>
  </si>
  <si>
    <t>近黑，只读出手、念珠和极弱反光；详见《资产卡索引》对应ID</t>
  </si>
  <si>
    <t>真人写实、真实物理材质、低饱和；近黑，只读出手、念珠和极弱反光</t>
  </si>
  <si>
    <t>ASR-SCN-P1-005-王府深院</t>
  </si>
  <si>
    <t>王府深院</t>
  </si>
  <si>
    <t>人群边缘与越众目光方向明确</t>
  </si>
  <si>
    <t>人群边缘与越众目光方向明确；详见《资产卡索引》对应ID</t>
  </si>
  <si>
    <t>真人写实、真实物理材质、低饱和；人群边缘与越众目光方向明确</t>
  </si>
  <si>
    <t>ASR-SCN-P1-006-灯下内室</t>
  </si>
  <si>
    <t>灯下内室</t>
  </si>
  <si>
    <t>手部相握与不完整人影；亲密而克制</t>
  </si>
  <si>
    <t>手部相握与不完整人影；亲密而克制；详见《资产卡索引》对应ID</t>
  </si>
  <si>
    <t>真人写实、真实物理材质、低饱和；手部相握与不完整人影；亲密而克制</t>
  </si>
  <si>
    <t>ASR-SCN-P1-007-帘后目击空间</t>
  </si>
  <si>
    <t>帘后目击空间</t>
  </si>
  <si>
    <t>帘影分隔女主与递簪动作；正反方向明确</t>
  </si>
  <si>
    <t>帘影分隔女主与递簪动作；正反方向明确；详见《资产卡索引》对应ID</t>
  </si>
  <si>
    <t>真人写实、真实物理材质、低饱和；帘影分隔女主与递簪动作；正反方向明确</t>
  </si>
  <si>
    <t>ASR-SCN-P1-008-宫廷垂帘大殿</t>
  </si>
  <si>
    <t>宫廷垂帘大殿</t>
  </si>
  <si>
    <t>25-26</t>
  </si>
  <si>
    <t>镜头25-26</t>
  </si>
  <si>
    <t>高位、垂帘、群臣和通道形成真实尺度</t>
  </si>
  <si>
    <t>高位、垂帘、群臣和通道形成真实尺度；详见《资产卡索引》对应ID</t>
  </si>
  <si>
    <t>真人写实、真实物理材质、低饱和；高位、垂帘、群臣和通道形成真实尺度</t>
  </si>
  <si>
    <t>ASR-SCN-P1-009-宫门告别空间</t>
  </si>
  <si>
    <t>宫门告别空间</t>
  </si>
  <si>
    <t>门内外轴线和人物被带离路径明确</t>
  </si>
  <si>
    <t>门内外轴线和人物被带离路径明确；详见《资产卡索引》对应ID</t>
  </si>
  <si>
    <t>真人写实、真实物理材质、低饱和；门内外轴线和人物被带离路径明确</t>
  </si>
  <si>
    <t>ASR-SCN-P1-010-风雪反噬空间</t>
  </si>
  <si>
    <t>风雪反噬空间</t>
  </si>
  <si>
    <t>风雪与火光短促叠化环境</t>
  </si>
  <si>
    <t>风雪与火光短促叠化环境；详见《资产卡索引》对应ID</t>
  </si>
  <si>
    <t>真人写实、真实物理材质、低饱和；风雪与火光短促叠化环境</t>
  </si>
  <si>
    <t>ASR-SCN-P2-011-空床内室</t>
  </si>
  <si>
    <t>空床内室</t>
  </si>
  <si>
    <t>P2</t>
  </si>
  <si>
    <t>单一空床，冷暗无人，短促叠化</t>
  </si>
  <si>
    <t>单一空床，冷暗无人，短促叠化；详见《资产卡索引》对应ID</t>
  </si>
  <si>
    <t>真人写实、真实物理材质、低饱和；单一空床，冷暗无人，短促叠化</t>
  </si>
  <si>
    <t>主资产通过后按镜头缺口后置制作</t>
  </si>
  <si>
    <t>ASR-SCN-P0-012-佛前归来空间</t>
  </si>
  <si>
    <t>佛前归来空间</t>
  </si>
  <si>
    <t>听众剪影、肩线与垂手建立佛存在；女主接叶</t>
  </si>
  <si>
    <t>听众剪影、肩线与垂手建立佛存在；女主接叶；详见《资产卡索引》对应ID</t>
  </si>
  <si>
    <t>真人写实、真实物理材质、低饱和；听众剪影、肩线与垂手建立佛存在；女主接叶</t>
  </si>
  <si>
    <t>ASR-SCN-P2-013-流放长路</t>
  </si>
  <si>
    <t>流放长路</t>
  </si>
  <si>
    <t>风尘长路、低细节远景、短曝光</t>
  </si>
  <si>
    <t>风尘长路、低细节远景、短曝光；详见《资产卡索引》对应ID</t>
  </si>
  <si>
    <t>真人写实、真实物理材质、低饱和；风尘长路、低细节远景、短曝光</t>
  </si>
  <si>
    <t>ASR-LGT-P0-001-佛国山雾漫射</t>
  </si>
  <si>
    <t>佛国山雾漫射</t>
  </si>
  <si>
    <t>大面积柔和天空光；真实低对比</t>
  </si>
  <si>
    <t>大面积柔和天空光；真实低对比；详见《资产卡索引》对应ID</t>
  </si>
  <si>
    <t>所属场景光影变体</t>
  </si>
  <si>
    <t>真人写实、真实物理材质、低饱和；大面积柔和天空光；真实低对比</t>
  </si>
  <si>
    <t>阶段2制作场景光影标准资产、必要视图/状态/声音样本与验证切片</t>
  </si>
  <si>
    <t>剧本明确;导演规则</t>
  </si>
  <si>
    <t>ASR-LGT-P0-002-殿内光柱边缘</t>
  </si>
  <si>
    <t>殿内光柱边缘</t>
  </si>
  <si>
    <t>03、06、09-10</t>
  </si>
  <si>
    <t>镜头03、06、09-10</t>
  </si>
  <si>
    <t>光柱来自殿门；女主处边缘，不使用追光</t>
  </si>
  <si>
    <t>光柱来自殿门；女主处边缘，不使用追光；详见《资产卡索引》对应ID</t>
  </si>
  <si>
    <t>真人写实、真实物理材质、低饱和；光柱来自殿门；女主处边缘，不使用追光</t>
  </si>
  <si>
    <t>ASR-LGT-P0-003-庭院树下常态漫射</t>
  </si>
  <si>
    <t>庭院树下常态漫射</t>
  </si>
  <si>
    <t>07、11、14-16</t>
  </si>
  <si>
    <t>镜头07、11、14-16</t>
  </si>
  <si>
    <t>佛与听众共享真实环境光</t>
  </si>
  <si>
    <t>佛与听众共享真实环境光；详见《资产卡索引》对应ID</t>
  </si>
  <si>
    <t>真人写实、真实物理材质、低饱和；佛与听众共享真实环境光</t>
  </si>
  <si>
    <t>ASR-LGT-P0-004-主观照见窄化光感</t>
  </si>
  <si>
    <t>主观照见窄化光感</t>
  </si>
  <si>
    <t>08-10</t>
  </si>
  <si>
    <t>镜头08-10</t>
  </si>
  <si>
    <t>不改客观光源，只收窄主观可见空间</t>
  </si>
  <si>
    <t>不改客观光源，只收窄主观可见空间；详见《资产卡索引》对应ID</t>
  </si>
  <si>
    <t>真人写实、真实物理材质、低饱和；不改客观光源，只收窄主观可见空间</t>
  </si>
  <si>
    <t>ASR-LGT-P1-005-黑暗掌心微光</t>
  </si>
  <si>
    <t>黑暗掌心微光</t>
  </si>
  <si>
    <t>仅读出掌纹、念珠体积与材质</t>
  </si>
  <si>
    <t>仅读出掌纹、念珠体积与材质；详见《资产卡索引》对应ID</t>
  </si>
  <si>
    <t>真人写实、真实物理材质、低饱和；仅读出掌纹、念珠体积与材质</t>
  </si>
  <si>
    <t>ASR-LGT-P1-006-王府深院低饱和光</t>
  </si>
  <si>
    <t>王府深院低饱和光</t>
  </si>
  <si>
    <t>自然环境光；目光不表现为光束</t>
  </si>
  <si>
    <t>自然环境光；目光不表现为光束；详见《资产卡索引》对应ID</t>
  </si>
  <si>
    <t>真人写实、真实物理材质、低饱和；自然环境光；目光不表现为光束</t>
  </si>
  <si>
    <t>ASR-LGT-P1-007-灯下短暂柔光</t>
  </si>
  <si>
    <t>灯下短暂柔光</t>
  </si>
  <si>
    <t>实景灯火短暂柔化肤质，仍低饱和</t>
  </si>
  <si>
    <t>实景灯火短暂柔化肤质，仍低饱和；详见《资产卡索引》对应ID</t>
  </si>
  <si>
    <t>真人写实、真实物理材质、低饱和；实景灯火短暂柔化肤质，仍低饱和</t>
  </si>
  <si>
    <t>ASR-LGT-P1-008-宫廷垂帘高位光</t>
  </si>
  <si>
    <t>宫廷垂帘高位光</t>
  </si>
  <si>
    <t>高位可读、群臣压暗；旧金仅作弱时代色</t>
  </si>
  <si>
    <t>高位可读、群臣压暗；旧金仅作弱时代色；详见《资产卡索引》对应ID</t>
  </si>
  <si>
    <t>真人写实、真实物理材质、低饱和；高位可读、群臣压暗；旧金仅作弱时代色</t>
  </si>
  <si>
    <t>ASR-LGT-P1-009-火光风雪叠化</t>
  </si>
  <si>
    <t>火光风雪叠化</t>
  </si>
  <si>
    <t>真实火光与蓝灰风雪短促交叠</t>
  </si>
  <si>
    <t>真实火光与蓝灰风雪短促交叠；详见《资产卡索引》对应ID</t>
  </si>
  <si>
    <t>真人写实、真实物理材质、低饱和；真实火光与蓝灰风雪短促交叠</t>
  </si>
  <si>
    <t>ASR-LGT-P0-010-佛前归来剪影光</t>
  </si>
  <si>
    <t>佛前归来剪影光</t>
  </si>
  <si>
    <t>真实逆向环境光形成肩线和听众层次</t>
  </si>
  <si>
    <t>真实逆向环境光形成肩线和听众层次；详见《资产卡索引》对应ID</t>
  </si>
  <si>
    <t>真人写实、真实物理材质、低饱和；真实逆向环境光形成肩线和听众层次</t>
  </si>
  <si>
    <t>ASR-PRP-P0-001-灰白念珠</t>
  </si>
  <si>
    <t>灰白念珠</t>
  </si>
  <si>
    <t>01、03-04、13、18-19</t>
  </si>
  <si>
    <t>镜头01、03-04、13、18-19</t>
  </si>
  <si>
    <t>哑光、真实重量与柔性线；稳定、停住、握住、逆拨</t>
  </si>
  <si>
    <t>哑光、真实重量与柔性线；稳定、停住、握住、逆拨；详见《资产卡索引》对应ID</t>
  </si>
  <si>
    <t>真人写实、真实物理材质、低饱和；哑光、真实重量与柔性线；稳定、停住、握住、逆拨</t>
  </si>
  <si>
    <t>阶段2制作道具标准资产、必要视图/状态/声音样本与验证切片</t>
  </si>
  <si>
    <t>剧本明确;合理推断</t>
  </si>
  <si>
    <t>ASR-PRP-P1-002-真实烛火</t>
  </si>
  <si>
    <t>真实烛火</t>
  </si>
  <si>
    <t>01</t>
  </si>
  <si>
    <t>镜头01</t>
  </si>
  <si>
    <t>单一真实灯芯火焰与一次轻爆裂；无神光</t>
  </si>
  <si>
    <t>单一真实灯芯火焰与一次轻爆裂；无神光；详见《资产卡索引》对应ID</t>
  </si>
  <si>
    <t>真人写实、真实物理材质、低饱和；单一真实灯芯火焰与一次轻爆裂；无神光</t>
  </si>
  <si>
    <t>ASR-PRP-P0-003-青绿落叶</t>
  </si>
  <si>
    <t>青绿落叶</t>
  </si>
  <si>
    <t>14、16-17、20、29</t>
  </si>
  <si>
    <t>镜头14、16-17、20、29</t>
  </si>
  <si>
    <t>冷灰青绿、真实叶脉、湿润感；全片唯一明确生命色</t>
  </si>
  <si>
    <t>冷灰青绿、真实叶脉、湿润感；全片唯一明确生命色；详见《资产卡索引》对应ID</t>
  </si>
  <si>
    <t>真人写实、真实物理材质、低饱和；冷灰青绿、真实叶脉、湿润感；全片唯一明确生命色</t>
  </si>
  <si>
    <t>ASR-PRP-P1-004-发簪</t>
  </si>
  <si>
    <t>发簪</t>
  </si>
  <si>
    <t>23-24</t>
  </si>
  <si>
    <t>镜头23-24</t>
  </si>
  <si>
    <t>克制长簪、低反光；递交和握掌形制一致</t>
  </si>
  <si>
    <t>克制长簪、低反光；递交和握掌形制一致；详见《资产卡索引》对应ID</t>
  </si>
  <si>
    <t>真人写实、真实物理材质、低饱和；克制长簪、低反光；递交和握掌形制一致</t>
  </si>
  <si>
    <t>ASR-PRP-P1-005-帘幕</t>
  </si>
  <si>
    <t>帘幕</t>
  </si>
  <si>
    <t>23、25</t>
  </si>
  <si>
    <t>镜头23、25</t>
  </si>
  <si>
    <t>真实织物重力与遮挡；不仙侠飘动</t>
  </si>
  <si>
    <t>真实织物重力与遮挡；不仙侠飘动；详见《资产卡索引》对应ID</t>
  </si>
  <si>
    <t>真人写实、真实物理材质、低饱和；真实织物重力与遮挡；不仙侠飘动</t>
  </si>
  <si>
    <t>ASR-PRP-P1-006-毒酒杯</t>
  </si>
  <si>
    <t>毒酒杯</t>
  </si>
  <si>
    <t>可单手平推；不以异色液体提示毒性</t>
  </si>
  <si>
    <t>可单手平推；不以异色液体提示毒性；详见《资产卡索引》对应ID</t>
  </si>
  <si>
    <t>真人写实、真实物理材质、低饱和；可单手平推；不以异色液体提示毒性</t>
  </si>
  <si>
    <t>ASR-PRP-P1-007-处置诏书</t>
  </si>
  <si>
    <t>处置诏书</t>
  </si>
  <si>
    <t>可落印；文字不可读；无真实姓名</t>
  </si>
  <si>
    <t>可落印；文字不可读；无真实姓名；详见《资产卡索引》对应ID</t>
  </si>
  <si>
    <t>真人写实、真实物理材质、低饱和；可落印；文字不可读；无真实姓名</t>
  </si>
  <si>
    <t>ASR-PRP-P1-008-印章</t>
  </si>
  <si>
    <t>印章</t>
  </si>
  <si>
    <t>真实重量与冲击；印面虚构不可读</t>
  </si>
  <si>
    <t>真实重量与冲击；印面虚构不可读；详见《资产卡索引》对应ID</t>
  </si>
  <si>
    <t>真人写实、真实物理材质、低饱和；真实重量与冲击；印面虚构不可读</t>
  </si>
  <si>
    <t>ASR-PRP-P1-009-白绫</t>
  </si>
  <si>
    <t>白绫</t>
  </si>
  <si>
    <t>真实织物重力与下垂；不展示伤害</t>
  </si>
  <si>
    <t>真实织物重力与下垂；不展示伤害；详见《资产卡索引》对应ID</t>
  </si>
  <si>
    <t>真人写实、真实物理材质、低饱和；真实织物重力与下垂；不展示伤害</t>
  </si>
  <si>
    <t>ASR-PRP-P2-010-刀锋</t>
  </si>
  <si>
    <t>刀锋</t>
  </si>
  <si>
    <t>冷硬局部反光；不见伤口</t>
  </si>
  <si>
    <t>冷硬局部反光；不见伤口；详见《资产卡索引》对应ID</t>
  </si>
  <si>
    <t>真人写实、真实物理材质、低饱和；冷硬局部反光；不见伤口</t>
  </si>
  <si>
    <t>ASR-VFX-P0-001-主观生理真实目光</t>
  </si>
  <si>
    <t>主观生理真实目光</t>
  </si>
  <si>
    <t>08</t>
  </si>
  <si>
    <t>镜头08</t>
  </si>
  <si>
    <t>真实眼睛、极安静、无暧昧；女主主观感受</t>
  </si>
  <si>
    <t>真实眼睛、极安静、无暧昧；女主主观感受；详见《资产卡索引》对应ID</t>
  </si>
  <si>
    <t>真人写实、真实物理材质、低饱和；真实眼睛、极安静、无暧昧；女主主观感受</t>
  </si>
  <si>
    <t>阶段2制作VFX/环境现象标准资产、必要视图/状态/声音样本与验证切片</t>
  </si>
  <si>
    <t>剧本明确;项目锁定;导演规则</t>
  </si>
  <si>
    <t>ASR-VFX-P0-002-群体失焦我之诞生</t>
  </si>
  <si>
    <t>群体失焦我之诞生</t>
  </si>
  <si>
    <t>10-12</t>
  </si>
  <si>
    <t>镜头10-12</t>
  </si>
  <si>
    <t>女主清晰、群体逐步失焦并可恢复</t>
  </si>
  <si>
    <t>女主清晰、群体逐步失焦并可恢复；详见《资产卡索引》对应ID</t>
  </si>
  <si>
    <t>真人写实、真实物理材质、低饱和；女主清晰、群体逐步失焦并可恢复</t>
  </si>
  <si>
    <t>ASR-VFX-P0-003-青绿落叶慢速下沉</t>
  </si>
  <si>
    <t>青绿落叶慢速下沉</t>
  </si>
  <si>
    <t>16</t>
  </si>
  <si>
    <t>镜头16</t>
  </si>
  <si>
    <t>只改变高度，无发光与旋转炫技</t>
  </si>
  <si>
    <t>只改变高度，无发光与旋转炫技；详见《资产卡索引》对应ID</t>
  </si>
  <si>
    <t>真人写实、真实物理材质、低饱和；只改变高度，无发光与旋转炫技</t>
  </si>
  <si>
    <t>ASR-VFX-P0-004-心远空间层退</t>
  </si>
  <si>
    <t>心远空间层退</t>
  </si>
  <si>
    <t>18</t>
  </si>
  <si>
    <t>镜头18</t>
  </si>
  <si>
    <t>女主不缩小不坠落；空间逐层远离褪色</t>
  </si>
  <si>
    <t>女主不缩小不坠落；空间逐层远离褪色；详见《资产卡索引》对应ID</t>
  </si>
  <si>
    <t>真人写实、真实物理材质、低饱和；女主不缩小不坠落；空间逐层远离褪色</t>
  </si>
  <si>
    <t>ASR-VFX-P1-005-片名落叶影转手</t>
  </si>
  <si>
    <t>片名落叶影转手</t>
  </si>
  <si>
    <t>20-21</t>
  </si>
  <si>
    <t>镜头20-21</t>
  </si>
  <si>
    <t>叶影下沉并连续接入人间伸手</t>
  </si>
  <si>
    <t>叶影下沉并连续接入人间伸手；详见《资产卡索引》对应ID</t>
  </si>
  <si>
    <t>真人写实、真实物理材质、低饱和；叶影下沉并连续接入人间伸手</t>
  </si>
  <si>
    <t>ASR-VFX-P1-006-掌纹暗血色一闪</t>
  </si>
  <si>
    <t>掌纹暗血色一闪</t>
  </si>
  <si>
    <t>极暗低饱和红仅在掌纹一闪</t>
  </si>
  <si>
    <t>极暗低饱和红仅在掌纹一闪；详见《资产卡索引》对应ID</t>
  </si>
  <si>
    <t>真人写实、真实物理材质、低饱和；极暗低饱和红仅在掌纹一闪</t>
  </si>
  <si>
    <t>ASR-VFX-P1-007-火光风雪空床叠化</t>
  </si>
  <si>
    <t>火光风雪空床叠化</t>
  </si>
  <si>
    <t>三种后果短促叠化，人物边缘稳定</t>
  </si>
  <si>
    <t>三种后果短促叠化，人物边缘稳定；详见《资产卡索引》对应ID</t>
  </si>
  <si>
    <t>真人写实、真实物理材质、低饱和；三种后果短促叠化，人物边缘稳定</t>
  </si>
  <si>
    <t>ASR-VFX-P1-008-多世死亡叠闪</t>
  </si>
  <si>
    <t>多世死亡叠闪</t>
  </si>
  <si>
    <t>白绫、流放、刀锋、千夫所指连续闪过</t>
  </si>
  <si>
    <t>白绫、流放、刀锋、千夫所指连续闪过；详见《资产卡索引》对应ID</t>
  </si>
  <si>
    <t>真人写实、真实物理材质、低饱和；白绫、流放、刀锋、千夫所指连续闪过</t>
  </si>
  <si>
    <t>ASR-VFX-P0-009-轮回动作匹配切系统</t>
  </si>
  <si>
    <t>轮回动作匹配切系统</t>
  </si>
  <si>
    <t>20-29</t>
  </si>
  <si>
    <t>镜头20-29</t>
  </si>
  <si>
    <t>手、发簪、掌心、酒杯、印章、落叶方向一致</t>
  </si>
  <si>
    <t>手、发簪、掌心、酒杯、印章、落叶方向一致；详见《资产卡索引》对应ID</t>
  </si>
  <si>
    <t>真人写实、真实物理材质、低饱和；手、发簪、掌心、酒杯、印章、落叶方向一致</t>
  </si>
  <si>
    <t>ASR-VFX-P2-010-黑中烛火渐显</t>
  </si>
  <si>
    <t>黑中烛火渐显</t>
  </si>
  <si>
    <t>纯黑后真实烛火缓慢显出，无粒子光晕</t>
  </si>
  <si>
    <t>纯黑后真实烛火缓慢显出，无粒子光晕；详见《资产卡索引》对应ID</t>
  </si>
  <si>
    <t>真人写实、真实物理材质、低饱和；纯黑后真实烛火缓慢显出，无粒子光晕</t>
  </si>
  <si>
    <t>ASR-CRO-P0-001-比丘尼群像</t>
  </si>
  <si>
    <t>比丘尼群像</t>
  </si>
  <si>
    <t>03、10、12-13、15</t>
  </si>
  <si>
    <t>镜头03、10、12-13、15</t>
  </si>
  <si>
    <t>统一坐姿与拨珠节律；个体差异避免同脸</t>
  </si>
  <si>
    <t>统一坐姿与拨珠节律；个体差异避免同脸；详见《资产卡索引》对应ID</t>
  </si>
  <si>
    <t>真人写实、真实物理材质、低饱和；统一坐姿与拨珠节律；个体差异避免同脸</t>
  </si>
  <si>
    <t>阶段2制作群演配置标准资产、必要视图/状态/声音样本与验证切片</t>
  </si>
  <si>
    <t>剧本明确;创作者建议</t>
  </si>
  <si>
    <t>ASR-CRO-P1-002-树下讲经听众</t>
  </si>
  <si>
    <t>树下讲经听众</t>
  </si>
  <si>
    <t>07、11、15</t>
  </si>
  <si>
    <t>镜头07、11、15</t>
  </si>
  <si>
    <t>朝向统一、代表个体不同；建立讲经秩序</t>
  </si>
  <si>
    <t>朝向统一、代表个体不同；建立讲经秩序；详见《资产卡索引》对应ID</t>
  </si>
  <si>
    <t>真人写实、真实物理材质、低饱和；朝向统一、代表个体不同；建立讲经秩序</t>
  </si>
  <si>
    <t>ASR-CRO-P2-003-王府边缘人群</t>
  </si>
  <si>
    <t>王府边缘人群</t>
  </si>
  <si>
    <t>不可辨背景人群；女主站边缘</t>
  </si>
  <si>
    <t>不可辨背景人群；女主站边缘；详见《资产卡索引》对应ID</t>
  </si>
  <si>
    <t>真人写实、真实物理材质、低饱和；不可辨背景人群；女主站边缘</t>
  </si>
  <si>
    <t>ASR-CRO-P1-004-宫廷俯首群臣</t>
  </si>
  <si>
    <t>宫廷俯首群臣</t>
  </si>
  <si>
    <t>前景代表、重复纵深与衣袍声建立万人感</t>
  </si>
  <si>
    <t>前景代表、重复纵深与衣袍声建立万人感；详见《资产卡索引》对应ID</t>
  </si>
  <si>
    <t>真人写实、真实物理材质、低饱和；前景代表、重复纵深与衣袍声建立万人感</t>
  </si>
  <si>
    <t>ASR-CRO-P1-005-五百罗汉剪影规模</t>
  </si>
  <si>
    <t>五百罗汉剪影规模</t>
  </si>
  <si>
    <t>不逐一实体化；剪影、肩线、朝向和低诵建立规模</t>
  </si>
  <si>
    <t>不逐一实体化；剪影、肩线、朝向和低诵建立规模；详见《资产卡索引》对应ID</t>
  </si>
  <si>
    <t>真人写实、真实物理材质、低饱和；不逐一实体化；剪影、肩线、朝向和低诵建立规模</t>
  </si>
  <si>
    <t>ASR-CRO-P2-006-千夫所指人群</t>
  </si>
  <si>
    <t>千夫所指人群</t>
  </si>
  <si>
    <t>手势和压力方向清楚；不抢女主身份</t>
  </si>
  <si>
    <t>手势和压力方向清楚；不抢女主身份；详见《资产卡索引》对应ID</t>
  </si>
  <si>
    <t>真人写实、真实物理材质、低饱和；手势和压力方向清楚；不抢女主身份</t>
  </si>
  <si>
    <t>ASR-SYM-P0-001-阿修罗片名卡</t>
  </si>
  <si>
    <t>阿修罗片名卡</t>
  </si>
  <si>
    <t>20</t>
  </si>
  <si>
    <t>镜头20</t>
  </si>
  <si>
    <t>近黑深灰底、灰白枯笔字；不描金不发光</t>
  </si>
  <si>
    <t>近黑深灰底、灰白枯笔字；不描金不发光；详见《资产卡索引》对应ID</t>
  </si>
  <si>
    <t>真人写实、真实物理材质、低饱和；近黑深灰底、灰白枯笔字；不描金不发光</t>
  </si>
  <si>
    <t>阶段2制作图案/文字标准资产、必要视图/状态/声音样本与验证切片</t>
  </si>
  <si>
    <t>剧本明确;项目锁定</t>
  </si>
  <si>
    <t>ASR-SYM-P1-002-诏书与印面不可读文字规范</t>
  </si>
  <si>
    <t>诏书与印面不可读文字规范</t>
  </si>
  <si>
    <t>虚构笔画与印面；不可辨具体字与政权</t>
  </si>
  <si>
    <t>虚构笔画与印面；不可辨具体字与政权；详见《资产卡索引》对应ID</t>
  </si>
  <si>
    <t>真人写实、真实物理材质、低饱和；虚构笔画与印面；不可辨具体字与政权</t>
  </si>
  <si>
    <t>ASR-SND-P0-001-念珠秩序节律</t>
  </si>
  <si>
    <t>念珠秩序节律</t>
  </si>
  <si>
    <t>干燥真实珠声；支持规律、缺拍、逆拨和闷响</t>
  </si>
  <si>
    <t>干燥真实珠声；支持规律、缺拍、逆拨和闷响；详见《资产卡索引》对应ID</t>
  </si>
  <si>
    <t>按镜头距离、强度和节律生成可调用变体</t>
  </si>
  <si>
    <t>阶段2制作声音母题标准资产、必要视图/状态/声音样本与验证切片</t>
  </si>
  <si>
    <t>剧本明确;项目锁定;声音导演建议</t>
  </si>
  <si>
    <t>ASR-SND-P0-002-木鱼节律</t>
  </si>
  <si>
    <t>木鱼节律</t>
  </si>
  <si>
    <t>03、11、14-15、25</t>
  </si>
  <si>
    <t>镜头03、11、14-15、25</t>
  </si>
  <si>
    <t>稳定修行节拍；可少一拍和中断半拍</t>
  </si>
  <si>
    <t>稳定修行节拍；可少一拍和中断半拍；详见《资产卡索引》对应ID</t>
  </si>
  <si>
    <t>ASR-SND-P0-003-梵呗秩序</t>
  </si>
  <si>
    <t>梵呗秩序</t>
  </si>
  <si>
    <t>03、08、15、18</t>
  </si>
  <si>
    <t>镜头03、08、15、18</t>
  </si>
  <si>
    <t>场内群体低诵；可变薄、拉远、恢复</t>
  </si>
  <si>
    <t>场内群体低诵；可变薄、拉远、恢复；详见《资产卡索引》对应ID</t>
  </si>
  <si>
    <t>ASR-SND-P1-004-远磬</t>
  </si>
  <si>
    <t>远磬</t>
  </si>
  <si>
    <t>06、20</t>
  </si>
  <si>
    <t>镜头06、20</t>
  </si>
  <si>
    <t>一次真实磬声；尾音可被心跳切断</t>
  </si>
  <si>
    <t>一次真实磬声；尾音可被心跳切断；详见《资产卡索引》对应ID</t>
  </si>
  <si>
    <t>ASR-SND-P1-005-佛国松涛风声</t>
  </si>
  <si>
    <t>佛国松涛风声</t>
  </si>
  <si>
    <t>02</t>
  </si>
  <si>
    <t>镜头02</t>
  </si>
  <si>
    <t>远淡真实；不做仙境风铃</t>
  </si>
  <si>
    <t>远淡真实；不做仙境风铃；详见《资产卡索引》对应ID</t>
  </si>
  <si>
    <t>ASR-SND-P0-006-呼吸母题</t>
  </si>
  <si>
    <t>呼吸母题</t>
  </si>
  <si>
    <t>05、08-09、12、17、22、27</t>
  </si>
  <si>
    <t>镜头05、08-09、12、17、22、27</t>
  </si>
  <si>
    <t>对齐、慢半拍、贴耳三个状态可区分</t>
  </si>
  <si>
    <t>对齐、慢半拍、贴耳三个状态可区分；详见《资产卡索引》对应ID</t>
  </si>
  <si>
    <t>ASR-SND-P1-007-水滴深井</t>
  </si>
  <si>
    <t>水滴深井</t>
  </si>
  <si>
    <t>12、16</t>
  </si>
  <si>
    <t>镜头12、16</t>
  </si>
  <si>
    <t>单滴、纵深长，扩散后回归寂静</t>
  </si>
  <si>
    <t>单滴、纵深长，扩散后回归寂静；详见《资产卡索引》对应ID</t>
  </si>
  <si>
    <t>ASR-SND-P0-008-声音中断与少一拍</t>
  </si>
  <si>
    <t>声音中断与少一拍</t>
  </si>
  <si>
    <t>01、13-15、29</t>
  </si>
  <si>
    <t>镜头01、13-15、29</t>
  </si>
  <si>
    <t>秩序裂缝；不依赖持续低频</t>
  </si>
  <si>
    <t>秩序裂缝；不依赖持续低频；详见《资产卡索引》对应ID</t>
  </si>
  <si>
    <t>ASR-SND-P0-009-人间心跳</t>
  </si>
  <si>
    <t>人间心跳</t>
  </si>
  <si>
    <t>片名后首次清晰，轮回段加速但不持续轰鸣</t>
  </si>
  <si>
    <t>片名后首次清晰，轮回段加速但不持续轰鸣；详见《资产卡索引》对应ID</t>
  </si>
  <si>
    <t>ASR-SND-P1-010-衣料摩擦</t>
  </si>
  <si>
    <t>衣料摩擦</t>
  </si>
  <si>
    <t>17、21、25</t>
  </si>
  <si>
    <t>镜头17、21、25</t>
  </si>
  <si>
    <t>握紧与群臣伏地所需的真实织物声</t>
  </si>
  <si>
    <t>握紧与群臣伏地所需的真实织物声；详见《资产卡索引》对应ID</t>
  </si>
  <si>
    <t>ASR-SND-P1-011-弦乐完整句与断弦</t>
  </si>
  <si>
    <t>弦乐完整句与断弦</t>
  </si>
  <si>
    <t>22、24</t>
  </si>
  <si>
    <t>镜头22、24</t>
  </si>
  <si>
    <t>镜头22场内短句；镜头24断弦；属性待确认</t>
  </si>
  <si>
    <t>镜头22场内短句；镜头24断弦；属性待确认；详见《资产卡索引》对应ID</t>
  </si>
  <si>
    <t>ASR-SND-P1-012-印章酒杯撞击</t>
  </si>
  <si>
    <t>印章酒杯撞击</t>
  </si>
  <si>
    <t>落印与杯触案叠成一次重击</t>
  </si>
  <si>
    <t>落印与杯触案叠成一次重击；详见《资产卡索引》对应ID</t>
  </si>
  <si>
    <t>ASR-SND-P1-013-宫门风雪喘息</t>
  </si>
  <si>
    <t>宫门风雪喘息</t>
  </si>
  <si>
    <t>门轴、风雪、急喘三层可分辨</t>
  </si>
  <si>
    <t>门轴、风雪、急喘三层可分辨；详见《资产卡索引》对应ID</t>
  </si>
  <si>
    <t>ASR-SND-P0-014-绝对寂静</t>
  </si>
  <si>
    <t>绝对寂静</t>
  </si>
  <si>
    <t>29-30</t>
  </si>
  <si>
    <t>镜头29-30</t>
  </si>
  <si>
    <t>真正留白；无底噪、残响或音乐尾音</t>
  </si>
  <si>
    <t>真正留白；无底噪、残响或音乐尾音；详见《资产卡索引》对应ID</t>
  </si>
  <si>
    <t>ASR-SND-P2-015-灯芯爆裂</t>
  </si>
  <si>
    <t>灯芯爆裂</t>
  </si>
  <si>
    <t>极轻、近场、一次真实灯芯声</t>
  </si>
  <si>
    <t>极轻、近场、一次真实灯芯声；详见《资产卡索引》对应ID</t>
  </si>
  <si>
    <t>ASR-SND-P1-016-低鼓与伏地衣袍</t>
  </si>
  <si>
    <t>低鼓与伏地衣袍</t>
  </si>
  <si>
    <t>低鼓一记；衣袍伏地建立权力空间</t>
  </si>
  <si>
    <t>低鼓一记；衣袍伏地建立权力空间；详见《资产卡索引》对应ID</t>
  </si>
  <si>
    <t>ASR-REL-P0-001-女主跨千年同一身份</t>
  </si>
  <si>
    <t>女主跨千年同一身份</t>
  </si>
  <si>
    <t>03-29</t>
  </si>
  <si>
    <t>镜头03-29</t>
  </si>
  <si>
    <t>全部CST继承同一眼型、眉骨、唇形与面部比例</t>
  </si>
  <si>
    <t>全部CST继承同一眼型、眉骨、唇形与面部比例；详见《资产卡索引》对应ID</t>
  </si>
  <si>
    <t>不单独生成；作为下游约束</t>
  </si>
  <si>
    <t>连续性规则</t>
  </si>
  <si>
    <t>写入阶段2资产Prompt检查项与阶段3调用规则</t>
  </si>
  <si>
    <t>全片相关资产</t>
  </si>
  <si>
    <t>剧本明确;项目锁定;连续性分析</t>
  </si>
  <si>
    <t>ASR-REL-P0-002-女主念珠接触</t>
  </si>
  <si>
    <t>女主念珠接触</t>
  </si>
  <si>
    <t>04、13、19</t>
  </si>
  <si>
    <t>镜头04、13、19</t>
  </si>
  <si>
    <t>手部比例、珠径、接触点与逆拨方向一致</t>
  </si>
  <si>
    <t>手部比例、珠径、接触点与逆拨方向一致；详见《资产卡索引》对应ID</t>
  </si>
  <si>
    <t>ASR-REL-P0-003-女主声纹连续</t>
  </si>
  <si>
    <t>女主声纹连续</t>
  </si>
  <si>
    <t>VO、短句与片尾同一声纹</t>
  </si>
  <si>
    <t>VO、短句与片尾同一声纹；详见《资产卡索引》对应ID</t>
  </si>
  <si>
    <t>ASR-REL-P0-004-佛非正面空间存在</t>
  </si>
  <si>
    <t>佛非正面空间存在</t>
  </si>
  <si>
    <t>07、11、29</t>
  </si>
  <si>
    <t>镜头07、11、29</t>
  </si>
  <si>
    <t>佛不正面，不转头选择女主</t>
  </si>
  <si>
    <t>佛不正面，不转头选择女主；详见《资产卡索引》对应ID</t>
  </si>
  <si>
    <t>ASR-REL-P0-005-佛国客观空间轴线</t>
  </si>
  <si>
    <t>佛国客观空间轴线</t>
  </si>
  <si>
    <t>02-18</t>
  </si>
  <si>
    <t>镜头02-18</t>
  </si>
  <si>
    <t>主观压缩后回到同一殿内—庭院—树下轴线</t>
  </si>
  <si>
    <t>主观压缩后回到同一殿内—庭院—树下轴线；详见《资产卡索引》对应ID</t>
  </si>
  <si>
    <t>ASR-REL-P0-006-树枝落叶来源</t>
  </si>
  <si>
    <t>树枝落叶来源</t>
  </si>
  <si>
    <t>14-16</t>
  </si>
  <si>
    <t>镜头14-16</t>
  </si>
  <si>
    <t>同一叶形从真实枝端松开，枝条不回弹</t>
  </si>
  <si>
    <t>同一叶形从真实枝端松开，枝条不回弹；详见《资产卡索引》对应ID</t>
  </si>
  <si>
    <t>ASR-REL-P0-007-主观目光与客观佛对照</t>
  </si>
  <si>
    <t>主观目光与客观佛对照</t>
  </si>
  <si>
    <t>08、11</t>
  </si>
  <si>
    <t>镜头08、11</t>
  </si>
  <si>
    <t>主观唯一感不能改写客观事实</t>
  </si>
  <si>
    <t>主观唯一感不能改写客观事实；详见《资产卡索引》对应ID</t>
  </si>
  <si>
    <t>ASR-REL-P0-008-念珠秩序停顿逆拨</t>
  </si>
  <si>
    <t>念珠秩序停顿逆拨</t>
  </si>
  <si>
    <t>01、04、13、19</t>
  </si>
  <si>
    <t>镜头01、04、13、19</t>
  </si>
  <si>
    <t>稳定—停住—握住—逆拨动作声一致</t>
  </si>
  <si>
    <t>稳定—停住—握住—逆拨动作声一致；详见《资产卡索引》对应ID</t>
  </si>
  <si>
    <t>ASR-REL-P0-009-青绿落叶全片连续</t>
  </si>
  <si>
    <t>青绿落叶全片连续</t>
  </si>
  <si>
    <t>14、16、20、29</t>
  </si>
  <si>
    <t>镜头14、16、20、29</t>
  </si>
  <si>
    <t>叶形、色彩、叶脉与完好状态连续</t>
  </si>
  <si>
    <t>叶形、色彩、叶脉与完好状态连续；详见《资产卡索引》对应ID</t>
  </si>
  <si>
    <t>ASR-REL-P0-010-轮回动作接力</t>
  </si>
  <si>
    <t>轮回动作接力</t>
  </si>
  <si>
    <t>伸手—发簪—握掌—推杯—落印—合叶</t>
  </si>
  <si>
    <t>伸手—发簪—握掌—推杯—落印—合叶；详见《资产卡索引》对应ID</t>
  </si>
  <si>
    <t>ASR-REL-P1-011-声音秩序到人间冲击</t>
  </si>
  <si>
    <t>声音秩序到人间冲击</t>
  </si>
  <si>
    <t>01-30</t>
  </si>
  <si>
    <t>镜头01-30</t>
  </si>
  <si>
    <t>秩序—缺拍—心跳—撞击—绝对寂静</t>
  </si>
  <si>
    <t>秩序—缺拍—心跳—撞击—绝对寂静；详见《资产卡索引》对应ID</t>
  </si>
  <si>
    <t>ASR-REL-P1-012-唯一可读文字</t>
  </si>
  <si>
    <t>唯一可读文字</t>
  </si>
  <si>
    <t>20、26</t>
  </si>
  <si>
    <t>镜头20、26</t>
  </si>
  <si>
    <t>仅《阿修罗》清晰可读</t>
  </si>
  <si>
    <t>仅《阿修罗》清晰可读；详见《资产卡索引》对应ID</t>
  </si>
  <si>
    <t>ASR-REL-P1-013-青绿唯一生命色</t>
  </si>
  <si>
    <t>青绿唯一生命色</t>
  </si>
  <si>
    <t>全片</t>
  </si>
  <si>
    <t>所有时代色低于青绿叶的视觉权重</t>
  </si>
  <si>
    <t>所有时代色低于青绿叶的视觉权重；详见《资产卡索引》对应ID</t>
  </si>
  <si>
    <t>ASR-REL-P1-014-群像秩序与去复制</t>
  </si>
  <si>
    <t>群像秩序与去复制</t>
  </si>
  <si>
    <t>03、07、21、25、28-29</t>
  </si>
  <si>
    <t>镜头03、07、21、25、28-29</t>
  </si>
  <si>
    <t>统一秩序中保留真实个体差异</t>
  </si>
  <si>
    <t>统一秩序中保留真实个体差异；详见《资产卡索引》对应ID</t>
  </si>
  <si>
    <t>角色与服装状态资产</t>
  </si>
  <si>
    <t>类型</t>
  </si>
  <si>
    <t>级别</t>
  </si>
  <si>
    <t>设计摘要</t>
  </si>
  <si>
    <t>状态/变体</t>
  </si>
  <si>
    <t>阶段2建议</t>
  </si>
  <si>
    <t>人物与群体声音资产</t>
  </si>
  <si>
    <t>场景与地点资产</t>
  </si>
  <si>
    <t>场景光影状态</t>
  </si>
  <si>
    <t>道具资产</t>
  </si>
  <si>
    <t>VFX、群演与文字资产</t>
  </si>
  <si>
    <t>声音母题资产</t>
  </si>
  <si>
    <t>资产关系与连续性</t>
  </si>
  <si>
    <t>场景视图需求与确认</t>
  </si>
  <si>
    <t>场景生产资产ID</t>
  </si>
  <si>
    <t>场景名称</t>
  </si>
  <si>
    <t>视图ID前缀</t>
  </si>
  <si>
    <t>视图需求等级建议</t>
  </si>
  <si>
    <t>建议原因</t>
  </si>
  <si>
    <t>母图是否必需</t>
  </si>
  <si>
    <t>指定必需视图</t>
  </si>
  <si>
    <t>建议补充视图</t>
  </si>
  <si>
    <t>是否建议标准五视图</t>
  </si>
  <si>
    <t>阶段3可能追加专项视图</t>
  </si>
  <si>
    <t>用户确认等级</t>
  </si>
  <si>
    <t>用户确认视图清单</t>
  </si>
  <si>
    <t>用户确认视图ID清单</t>
  </si>
  <si>
    <t>备注</t>
  </si>
  <si>
    <t>ASR-SCN-P0-001-V</t>
  </si>
  <si>
    <t>SV1</t>
  </si>
  <si>
    <t>远景建立为主，不发生完整反打</t>
  </si>
  <si>
    <t>是</t>
  </si>
  <si>
    <t>MASTER; FRONT</t>
  </si>
  <si>
    <t>TOP</t>
  </si>
  <si>
    <t>否</t>
  </si>
  <si>
    <t>高位远景</t>
  </si>
  <si>
    <t/>
  </si>
  <si>
    <t>建议TOP仅作空间补全</t>
  </si>
  <si>
    <t>ASR-SCN-P0-002-V</t>
  </si>
  <si>
    <t>SV2</t>
  </si>
  <si>
    <t>主场景、多人物、特写与客观轴线恢复</t>
  </si>
  <si>
    <t>MASTER; FRONT; BACK; LEFT; RIGHT; TOP</t>
  </si>
  <si>
    <t>光柱边缘低机位; 女主手部位置</t>
  </si>
  <si>
    <t>ASR-SCN-P0-003-V</t>
  </si>
  <si>
    <t>殿内望外、听众、落叶源头与反打关系复杂</t>
  </si>
  <si>
    <t>殿内望外斜角; 树枝局部</t>
  </si>
  <si>
    <t>ASR-SCN-P1-004-V</t>
  </si>
  <si>
    <t>SV0</t>
  </si>
  <si>
    <t>单方向近景</t>
  </si>
  <si>
    <t>MASTER</t>
  </si>
  <si>
    <t>掌心微距</t>
  </si>
  <si>
    <t>ASR-SCN-P1-005-V</t>
  </si>
  <si>
    <t>人群边缘与越众目光需要方向关系</t>
  </si>
  <si>
    <t>MASTER; FRONT; LEFT</t>
  </si>
  <si>
    <t>人群边缘中景</t>
  </si>
  <si>
    <t>ASR-SCN-P1-006-V</t>
  </si>
  <si>
    <t>双手相握与人影关系为主</t>
  </si>
  <si>
    <t>手部桌面关系</t>
  </si>
  <si>
    <t>ASR-SCN-P1-007-V</t>
  </si>
  <si>
    <t>女主、帘与递簪需要正反方向</t>
  </si>
  <si>
    <t>MASTER; FRONT; BACK</t>
  </si>
  <si>
    <t>帘后主观角度</t>
  </si>
  <si>
    <t>ASR-SCN-P1-008-V</t>
  </si>
  <si>
    <t>高位、群臣、通道和垂帘形成复杂调度</t>
  </si>
  <si>
    <t>高位俯视; 案台近景</t>
  </si>
  <si>
    <t>ASR-SCN-P1-009-V</t>
  </si>
  <si>
    <t>门内外与带离方向明确</t>
  </si>
  <si>
    <t>门缝局部</t>
  </si>
  <si>
    <t>ASR-SCN-P1-010-V</t>
  </si>
  <si>
    <t>短促环境叠化</t>
  </si>
  <si>
    <t>风雪人物半身</t>
  </si>
  <si>
    <t>ASR-SCN-P2-011-V</t>
  </si>
  <si>
    <t>单一短促叠化</t>
  </si>
  <si>
    <t>ASR-SCN-P0-012-V</t>
  </si>
  <si>
    <t>听众剪影、佛存在与女主归来关系</t>
  </si>
  <si>
    <t>接叶手部关系</t>
  </si>
  <si>
    <t>建议继承SCN003空间骨架</t>
  </si>
  <si>
    <t>ASR-SCN-P2-013-V</t>
  </si>
  <si>
    <t>低频短促快闪</t>
  </si>
  <si>
    <t>长焦远景</t>
  </si>
  <si>
    <t>资产生产包与审批门</t>
  </si>
  <si>
    <t>生产包编号</t>
  </si>
  <si>
    <t>名称</t>
  </si>
  <si>
    <t>覆盖镜头</t>
  </si>
  <si>
    <t>包含资产</t>
  </si>
  <si>
    <t>阶段2执行小组</t>
  </si>
  <si>
    <t>前置依赖</t>
  </si>
  <si>
    <t>审批门</t>
  </si>
  <si>
    <t>交付形态</t>
  </si>
  <si>
    <t>完成条件</t>
  </si>
  <si>
    <t>阻断项</t>
  </si>
  <si>
    <t>可并行生产包</t>
  </si>
  <si>
    <t>后续生产包</t>
  </si>
  <si>
    <t>ASR-PKG-01</t>
  </si>
  <si>
    <t>全片视觉基准与女主身份</t>
  </si>
  <si>
    <t>CHR001; CST001/002/014; REL001/003/013</t>
  </si>
  <si>
    <t>阶段2A风格组;人物资产组</t>
  </si>
  <si>
    <t>CFM-001/002</t>
  </si>
  <si>
    <t>风格验证;女主身份剧照验证;手部验证</t>
  </si>
  <si>
    <t>女主四组基准资产</t>
  </si>
  <si>
    <t>跨状态为同一演员</t>
  </si>
  <si>
    <t>身份方向被否定</t>
  </si>
  <si>
    <t>PKG-02</t>
  </si>
  <si>
    <t>PKG-06</t>
  </si>
  <si>
    <t>ASR-PKG-02</t>
  </si>
  <si>
    <t>女主声纹与全片声音母题</t>
  </si>
  <si>
    <t>VOI001-003; SND001-016; REL011</t>
  </si>
  <si>
    <t>声音资产组</t>
  </si>
  <si>
    <t>CFM-008/009</t>
  </si>
  <si>
    <t>声纹验证;声音母题分层验证</t>
  </si>
  <si>
    <t>人物/群体声音与母题</t>
  </si>
  <si>
    <t>秩序到寂静可调用</t>
  </si>
  <si>
    <t>声纹缺失仅阻断最终映射</t>
  </si>
  <si>
    <t>PKG-01/03/04</t>
  </si>
  <si>
    <t>PKG-09</t>
  </si>
  <si>
    <t>ASR-PKG-03</t>
  </si>
  <si>
    <t>佛、群像与佛国人物秩序</t>
  </si>
  <si>
    <t>03/07/10-15/29</t>
  </si>
  <si>
    <t>CHR002; CRO001/002/005; REL004/014</t>
  </si>
  <si>
    <t>人物资产组;群演配置组</t>
  </si>
  <si>
    <t>CFM-002</t>
  </si>
  <si>
    <t>局部人物验证;去复制验证</t>
  </si>
  <si>
    <t>佛局部与群像配置</t>
  </si>
  <si>
    <t>佛无正脸、群像不复制</t>
  </si>
  <si>
    <t>服饰口径未定</t>
  </si>
  <si>
    <t>PKG-04</t>
  </si>
  <si>
    <t>ASR-PKG-04</t>
  </si>
  <si>
    <t>佛国空间、视图与主光</t>
  </si>
  <si>
    <t>02-18/29</t>
  </si>
  <si>
    <t>SCN001/002/003/012; LGT001-004/010; REL005</t>
  </si>
  <si>
    <t>场景资产组;光影组</t>
  </si>
  <si>
    <t>CFM-002/005/007</t>
  </si>
  <si>
    <t>母图;空间补全;光影确认</t>
  </si>
  <si>
    <t>P0场景母图和视图</t>
  </si>
  <si>
    <t>客观轴线可追溯</t>
  </si>
  <si>
    <t>SV未确认</t>
  </si>
  <si>
    <t>PKG-03/05</t>
  </si>
  <si>
    <t>PKG-05/09</t>
  </si>
  <si>
    <t>ASR-PKG-05</t>
  </si>
  <si>
    <t>核心道具与关键VFX技术测试</t>
  </si>
  <si>
    <t>01/04/08-20/29</t>
  </si>
  <si>
    <t>PRP001/003; VFX001-005/010; REL002/006-009</t>
  </si>
  <si>
    <t>道具组;VFX测试组</t>
  </si>
  <si>
    <t>CFM-003/004</t>
  </si>
  <si>
    <t>道具标准图;手部接触;VFX模板</t>
  </si>
  <si>
    <t>念珠/落叶与关键模板</t>
  </si>
  <si>
    <t>无手崩、叶形漂移、神迹化</t>
  </si>
  <si>
    <t>P0身份/场景未就绪</t>
  </si>
  <si>
    <t>PKG-03/04</t>
  </si>
  <si>
    <t>ASR-PKG-06</t>
  </si>
  <si>
    <t>女主轮回状态组</t>
  </si>
  <si>
    <t>21-29</t>
  </si>
  <si>
    <t>CST003-013; REL001/013</t>
  </si>
  <si>
    <t>人物资产组;服装造型组</t>
  </si>
  <si>
    <t>PKG-01;阶段2A色彩</t>
  </si>
  <si>
    <t>身份;服装状态;连续九镜验证</t>
  </si>
  <si>
    <t>11项轮回状态</t>
  </si>
  <si>
    <t>同脸且不成艳俗混剪</t>
  </si>
  <si>
    <t>身份不稳定</t>
  </si>
  <si>
    <t>PKG-07</t>
  </si>
  <si>
    <t>ASR-PKG-07</t>
  </si>
  <si>
    <t>轮回关系人物、场景、光影与群演</t>
  </si>
  <si>
    <t>21-28</t>
  </si>
  <si>
    <t>CHR003/004; SCN005-011/013; LGT006-009; CRO003/004/006</t>
  </si>
  <si>
    <t>场景组;配角组;群演组</t>
  </si>
  <si>
    <t>CFM-006</t>
  </si>
  <si>
    <t>母图;关系切片;规模确认</t>
  </si>
  <si>
    <t>轮回场景与人物配置</t>
  </si>
  <si>
    <t>可承载动作接力</t>
  </si>
  <si>
    <t>SV/时代口径未定</t>
  </si>
  <si>
    <t>PKG-06/08</t>
  </si>
  <si>
    <t>ASR-PKG-08</t>
  </si>
  <si>
    <t>轮回叙事道具与后果VFX</t>
  </si>
  <si>
    <t>23-28</t>
  </si>
  <si>
    <t>PRP004-010; SYM002; VFX006-008</t>
  </si>
  <si>
    <t>PKG-06/07</t>
  </si>
  <si>
    <t>形制;手部接触;快闪强度</t>
  </si>
  <si>
    <t>叙事道具与后果模板</t>
  </si>
  <si>
    <t>可读但不血腥酷刑化</t>
  </si>
  <si>
    <t>关系切片未就绪</t>
  </si>
  <si>
    <t>ASR-PKG-09</t>
  </si>
  <si>
    <t>片名、动作匹配切与高潮总装验证</t>
  </si>
  <si>
    <t>20-30</t>
  </si>
  <si>
    <t>SYM001; VFX009; SCN004; LGT005; REL010/012;上游确认资产</t>
  </si>
  <si>
    <t>阶段2装配组</t>
  </si>
  <si>
    <t>PKG-01/02/05/06/07/08</t>
  </si>
  <si>
    <t>片名;动作接力;声画节奏;归来终验</t>
  </si>
  <si>
    <t>高潮综合参考</t>
  </si>
  <si>
    <t>前慢后快末凝固</t>
  </si>
  <si>
    <t>上游未通过</t>
  </si>
  <si>
    <t>阶段3</t>
  </si>
  <si>
    <t>主创确认项清单</t>
  </si>
  <si>
    <t>编号</t>
  </si>
  <si>
    <t>优先级</t>
  </si>
  <si>
    <t>确认项</t>
  </si>
  <si>
    <t>阶段1建议</t>
  </si>
  <si>
    <t>不确认的影响</t>
  </si>
  <si>
    <t>ASR-CFM-001</t>
  </si>
  <si>
    <t>女主视觉年龄与身份方向</t>
  </si>
  <si>
    <t>26—30岁；安静克制、真实皮肤</t>
  </si>
  <si>
    <t>身份基准无法锁定</t>
  </si>
  <si>
    <t>ASR-CFM-002</t>
  </si>
  <si>
    <t>佛国服装/建筑时代与地域口径</t>
  </si>
  <si>
    <t>不绑定朝代；东亚古典佛教语汇去符号化</t>
  </si>
  <si>
    <t>人物与寺宇可能混搭</t>
  </si>
  <si>
    <t>ASR-CFM-003</t>
  </si>
  <si>
    <t>灰白念珠形制</t>
  </si>
  <si>
    <t>8—10毫米哑光石/致密木；珠数待定</t>
  </si>
  <si>
    <t>手部与声音不能最终锁定</t>
  </si>
  <si>
    <t>ASR-CFM-004</t>
  </si>
  <si>
    <t>青绿落叶叶形/树种弱化</t>
  </si>
  <si>
    <t>窄椭圆真实叶；不指向特定神树</t>
  </si>
  <si>
    <t>叶片连续性会漂移</t>
  </si>
  <si>
    <t>ASR-CFM-005</t>
  </si>
  <si>
    <t>P0场景视图等级</t>
  </si>
  <si>
    <t>SCN001 SV1; SCN002 SV2; SCN003 SV2; SCN012 SV1</t>
  </si>
  <si>
    <t>不能批量生成稳定视图</t>
  </si>
  <si>
    <t>ASR-CFM-006</t>
  </si>
  <si>
    <t>轮回场景视图等级</t>
  </si>
  <si>
    <t>宫廷SV2；王府/灯下/帘后/宫门SV1；其余SV0</t>
  </si>
  <si>
    <t>生产量与稳定性不确定</t>
  </si>
  <si>
    <t>ASR-CFM-007</t>
  </si>
  <si>
    <t>佛前归来空间复用</t>
  </si>
  <si>
    <t>继承SCN003骨架，单独做心理归来母图</t>
  </si>
  <si>
    <t>可能重复生产或破坏归来感</t>
  </si>
  <si>
    <t>ASR-CFM-008</t>
  </si>
  <si>
    <t>女主外部声纹平台与样本</t>
  </si>
  <si>
    <t>提交干声与授权状态</t>
  </si>
  <si>
    <t>阻断最终声音映射</t>
  </si>
  <si>
    <t>ASR-CFM-009</t>
  </si>
  <si>
    <t>镜头22弦乐属性</t>
  </si>
  <si>
    <t>画外但属于场内的短促演奏声</t>
  </si>
  <si>
    <t>可能违反无非叙事配乐</t>
  </si>
  <si>
    <t>ASR-CFM-010</t>
  </si>
  <si>
    <t>片名字形方向</t>
  </si>
  <si>
    <t>灰白枯笔、无描金无发光；阶段2出3案</t>
  </si>
  <si>
    <t>片名卡不能最终制作</t>
  </si>
  <si>
    <t>ASR-CFM-011</t>
  </si>
  <si>
    <t>佛前归来精神年龄</t>
  </si>
  <si>
    <t>最初面部+极轻成熟疲惫，不明显老化</t>
  </si>
  <si>
    <t>可能换脸或无千年重量</t>
  </si>
  <si>
    <t>ASR-CFM-012</t>
  </si>
  <si>
    <t>诏书/印面文字策略</t>
  </si>
  <si>
    <t>不可辨虚构笔画与印面</t>
  </si>
  <si>
    <t>可能产生历史误指</t>
  </si>
  <si>
    <t>ASR-CFM-013</t>
  </si>
  <si>
    <t>轮回身份虚构化</t>
  </si>
  <si>
    <t>全部虚构，以时代/情绪功能区分</t>
  </si>
  <si>
    <t>可能简化真实历史女性</t>
  </si>
  <si>
    <t>ASR-CFM-014</t>
  </si>
  <si>
    <t>镜头29口型回退</t>
  </si>
  <si>
    <t>轻口型不自然时改画外音</t>
  </si>
  <si>
    <t>可能出现口型失真</t>
  </si>
  <si>
    <t>已由锁定卡允许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</si>
</sst>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name val="Carlito"/>
      <charset val="134"/>
    </font>
    <font>
      <b/>
      <sz val="16"/>
      <color rgb="FFFFFFFF"/>
      <name val="Carlito"/>
      <charset val="134"/>
    </font>
    <font>
      <sz val="10"/>
      <color rgb="FF6B7280"/>
      <name val="Carlito"/>
      <charset val="134"/>
    </font>
    <font>
      <b/>
      <sz val="9"/>
      <color rgb="FFFFFFFF"/>
      <name val="Microsoft YaHei"/>
      <charset val="134"/>
    </font>
    <font>
      <sz val="9"/>
      <color rgb="FF20242C"/>
      <name val="Microsoft YaHei"/>
      <charset val="134"/>
    </font>
    <font>
      <b/>
      <sz val="18"/>
      <color rgb="FFFFFFFF"/>
      <name val="Carlito"/>
      <charset val="134"/>
    </font>
    <font>
      <b/>
      <sz val="10"/>
      <color rgb="FFFFFFFF"/>
      <name val="Microsoft YaHei"/>
      <charset val="134"/>
    </font>
    <font>
      <sz val="10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2A44"/>
        <bgColor indexed="64"/>
      </patternFill>
    </fill>
    <fill>
      <patternFill patternType="solid">
        <fgColor rgb="FFEAF1F1"/>
        <bgColor indexed="64"/>
      </patternFill>
    </fill>
    <fill>
      <patternFill patternType="solid">
        <fgColor rgb="FF2E6F7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D6DCE5"/>
      </left>
      <right/>
      <top style="thin">
        <color rgb="FFD6DCE5"/>
      </top>
      <bottom style="thin">
        <color rgb="FFD6DCE5"/>
      </bottom>
      <diagonal/>
    </border>
    <border>
      <left/>
      <right/>
      <top style="thin">
        <color rgb="FFD6DCE5"/>
      </top>
      <bottom style="thin">
        <color rgb="FFD6DCE5"/>
      </bottom>
      <diagonal/>
    </border>
    <border>
      <left/>
      <right style="thin">
        <color rgb="FFD6DCE5"/>
      </right>
      <top style="thin">
        <color rgb="FFD6DCE5"/>
      </top>
      <bottom style="thin">
        <color rgb="FFD6DCE5"/>
      </bottom>
      <diagonal/>
    </border>
    <border>
      <left/>
      <right/>
      <top/>
      <bottom style="thin">
        <color rgb="FFD6DCE5"/>
      </bottom>
      <diagonal/>
    </border>
    <border>
      <left style="thin">
        <color rgb="FFD6DCE5"/>
      </left>
      <right style="thin">
        <color rgb="FFD6DCE5"/>
      </right>
      <top style="thin">
        <color rgb="FFD6DCE5"/>
      </top>
      <bottom style="thin">
        <color rgb="FFD6DCE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7" borderId="9" applyNumberFormat="0" applyAlignment="0" applyProtection="0">
      <alignment vertical="center"/>
    </xf>
    <xf numFmtId="0" fontId="20" fillId="8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0" fillId="0" borderId="0"/>
  </cellStyleXfs>
  <cellXfs count="13">
    <xf numFmtId="0" fontId="0" fillId="0" borderId="0" xfId="49"/>
    <xf numFmtId="0" fontId="1" fillId="2" borderId="0" xfId="49" applyNumberFormat="1" applyFont="1" applyFill="1" applyBorder="1" applyAlignment="1">
      <alignment vertical="center"/>
    </xf>
    <xf numFmtId="0" fontId="2" fillId="3" borderId="0" xfId="49" applyNumberFormat="1" applyFont="1" applyFill="1" applyBorder="1" applyAlignment="1">
      <alignment vertical="center"/>
    </xf>
    <xf numFmtId="0" fontId="3" fillId="4" borderId="1" xfId="49" applyNumberFormat="1" applyFont="1" applyFill="1" applyBorder="1" applyAlignment="1">
      <alignment horizontal="center" vertical="center" wrapText="1"/>
    </xf>
    <xf numFmtId="0" fontId="3" fillId="4" borderId="2" xfId="49" applyNumberFormat="1" applyFont="1" applyFill="1" applyBorder="1" applyAlignment="1">
      <alignment horizontal="center" vertical="center" wrapText="1"/>
    </xf>
    <xf numFmtId="0" fontId="3" fillId="4" borderId="3" xfId="49" applyNumberFormat="1" applyFont="1" applyFill="1" applyBorder="1" applyAlignment="1">
      <alignment horizontal="center" vertical="center" wrapText="1"/>
    </xf>
    <xf numFmtId="0" fontId="4" fillId="0" borderId="4" xfId="49" applyNumberFormat="1" applyFont="1" applyFill="1" applyBorder="1" applyAlignment="1">
      <alignment vertical="top" wrapText="1"/>
    </xf>
    <xf numFmtId="0" fontId="4" fillId="0" borderId="2" xfId="49" applyNumberFormat="1" applyFont="1" applyFill="1" applyBorder="1" applyAlignment="1">
      <alignment vertical="top" wrapText="1"/>
    </xf>
    <xf numFmtId="0" fontId="5" fillId="2" borderId="0" xfId="49" applyNumberFormat="1" applyFont="1" applyFill="1" applyBorder="1" applyAlignment="1">
      <alignment vertical="center"/>
    </xf>
    <xf numFmtId="0" fontId="6" fillId="4" borderId="5" xfId="49" applyNumberFormat="1" applyFont="1" applyFill="1" applyBorder="1" applyAlignment="1">
      <alignment horizontal="center" vertical="center"/>
    </xf>
    <xf numFmtId="0" fontId="6" fillId="4" borderId="5" xfId="49" applyNumberFormat="1" applyFont="1" applyFill="1" applyBorder="1" applyAlignment="1">
      <alignment horizontal="center" vertical="center" wrapText="1"/>
    </xf>
    <xf numFmtId="0" fontId="7" fillId="0" borderId="5" xfId="49" applyNumberFormat="1" applyFont="1" applyFill="1" applyBorder="1"/>
    <xf numFmtId="0" fontId="7" fillId="0" borderId="5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ont>
        <b val="1"/>
        <color rgb="FF9F1D20"/>
      </font>
      <fill>
        <patternFill patternType="solid">
          <bgColor rgb="FFFDE8E7"/>
        </patternFill>
      </fill>
    </dxf>
    <dxf>
      <font>
        <b val="1"/>
        <color rgb="FF8A5B00"/>
      </font>
      <fill>
        <patternFill patternType="solid">
          <bgColor rgb="FFFFF3D6"/>
        </patternFill>
      </fill>
    </dxf>
    <dxf>
      <font>
        <b val="1"/>
        <color rgb="FF2A5B8A"/>
      </font>
      <fill>
        <patternFill patternType="solid">
          <bgColor rgb="FFE8F0FA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AssetsTable" displayName="AssetsTable" ref="A4:P106" totalsRowShown="0">
  <tableColumns count="16">
    <tableColumn id="1" name="生产资产ID"/>
    <tableColumn id="2" name="资产类型"/>
    <tableColumn id="3" name="资产名称"/>
    <tableColumn id="4" name="资产级别"/>
    <tableColumn id="5" name="剧本出处"/>
    <tableColumn id="6" name="关联场次或段落"/>
    <tableColumn id="7" name="基础描述"/>
    <tableColumn id="8" name="补全设计信息"/>
    <tableColumn id="9" name="状态变体"/>
    <tableColumn id="10" name="材质结构或声音特点"/>
    <tableColumn id="11" name="光影或环境要求"/>
    <tableColumn id="12" name="使用或生成需求"/>
    <tableColumn id="13" name="可复用范围"/>
    <tableColumn id="14" name="信息来源"/>
    <tableColumn id="15" name="确认状态"/>
    <tableColumn id="16" name="阶段2处理建议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haracterCostumeTable" displayName="CharacterCostumeTable" ref="A4:I22" totalsRowShown="0">
  <tableColumns count="9">
    <tableColumn id="1" name="生产资产ID"/>
    <tableColumn id="2" name="类型"/>
    <tableColumn id="3" name="资产名称"/>
    <tableColumn id="4" name="级别"/>
    <tableColumn id="5" name="剧本出处"/>
    <tableColumn id="6" name="设计摘要"/>
    <tableColumn id="7" name="状态/变体"/>
    <tableColumn id="8" name="确认状态"/>
    <tableColumn id="9" name="阶段2建议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VoiceTable" displayName="VoiceTable" ref="A4:I7" totalsRowShown="0">
  <tableColumns count="9">
    <tableColumn id="1" name="生产资产ID"/>
    <tableColumn id="2" name="类型"/>
    <tableColumn id="3" name="资产名称"/>
    <tableColumn id="4" name="级别"/>
    <tableColumn id="5" name="剧本出处"/>
    <tableColumn id="6" name="设计摘要"/>
    <tableColumn id="7" name="状态/变体"/>
    <tableColumn id="8" name="确认状态"/>
    <tableColumn id="9" name="阶段2建议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ceneTable" displayName="SceneTable" ref="A4:I17" totalsRowShown="0">
  <tableColumns count="9">
    <tableColumn id="1" name="生产资产ID"/>
    <tableColumn id="2" name="类型"/>
    <tableColumn id="3" name="资产名称"/>
    <tableColumn id="4" name="级别"/>
    <tableColumn id="5" name="剧本出处"/>
    <tableColumn id="6" name="设计摘要"/>
    <tableColumn id="7" name="状态/变体"/>
    <tableColumn id="8" name="确认状态"/>
    <tableColumn id="9" name="阶段2建议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LightingTable" displayName="LightingTable" ref="A4:I14" totalsRowShown="0">
  <tableColumns count="9">
    <tableColumn id="1" name="生产资产ID"/>
    <tableColumn id="2" name="类型"/>
    <tableColumn id="3" name="资产名称"/>
    <tableColumn id="4" name="级别"/>
    <tableColumn id="5" name="剧本出处"/>
    <tableColumn id="6" name="设计摘要"/>
    <tableColumn id="7" name="状态/变体"/>
    <tableColumn id="8" name="确认状态"/>
    <tableColumn id="9" name="阶段2建议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PropsTable" displayName="PropsTable" ref="A4:I14" totalsRowShown="0">
  <tableColumns count="9">
    <tableColumn id="1" name="生产资产ID"/>
    <tableColumn id="2" name="类型"/>
    <tableColumn id="3" name="资产名称"/>
    <tableColumn id="4" name="级别"/>
    <tableColumn id="5" name="剧本出处"/>
    <tableColumn id="6" name="设计摘要"/>
    <tableColumn id="7" name="状态/变体"/>
    <tableColumn id="8" name="确认状态"/>
    <tableColumn id="9" name="阶段2建议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VfxCrowdSymbolTable" displayName="VfxCrowdSymbolTable" ref="A4:I22" totalsRowShown="0">
  <tableColumns count="9">
    <tableColumn id="1" name="生产资产ID"/>
    <tableColumn id="2" name="类型"/>
    <tableColumn id="3" name="资产名称"/>
    <tableColumn id="4" name="级别"/>
    <tableColumn id="5" name="剧本出处"/>
    <tableColumn id="6" name="设计摘要"/>
    <tableColumn id="7" name="状态/变体"/>
    <tableColumn id="8" name="确认状态"/>
    <tableColumn id="9" name="阶段2建议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oundMotifTable" displayName="SoundMotifTable" ref="A4:I20" totalsRowShown="0">
  <tableColumns count="9">
    <tableColumn id="1" name="生产资产ID"/>
    <tableColumn id="2" name="类型"/>
    <tableColumn id="3" name="资产名称"/>
    <tableColumn id="4" name="级别"/>
    <tableColumn id="5" name="剧本出处"/>
    <tableColumn id="6" name="设计摘要"/>
    <tableColumn id="7" name="状态/变体"/>
    <tableColumn id="8" name="确认状态"/>
    <tableColumn id="9" name="阶段2建议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elationshipTable" displayName="RelationshipTable" ref="A4:I18" totalsRowShown="0">
  <tableColumns count="9">
    <tableColumn id="1" name="生产资产ID"/>
    <tableColumn id="2" name="类型"/>
    <tableColumn id="3" name="资产名称"/>
    <tableColumn id="4" name="级别"/>
    <tableColumn id="5" name="剧本出处"/>
    <tableColumn id="6" name="设计摘要"/>
    <tableColumn id="7" name="状态/变体"/>
    <tableColumn id="8" name="确认状态"/>
    <tableColumn id="9" name="阶段2建议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SceneViewsTable" displayName="SceneViewsTable" ref="A4:O17" totalsRowShown="0">
  <tableColumns count="15">
    <tableColumn id="1" name="场景生产资产ID"/>
    <tableColumn id="2" name="场景名称"/>
    <tableColumn id="3" name="视图ID前缀"/>
    <tableColumn id="4" name="视图需求等级建议"/>
    <tableColumn id="5" name="建议原因"/>
    <tableColumn id="6" name="母图是否必需"/>
    <tableColumn id="7" name="指定必需视图"/>
    <tableColumn id="8" name="建议补充视图"/>
    <tableColumn id="9" name="是否建议标准五视图"/>
    <tableColumn id="10" name="阶段3可能追加专项视图"/>
    <tableColumn id="11" name="用户确认等级"/>
    <tableColumn id="12" name="用户确认视图清单"/>
    <tableColumn id="13" name="用户确认视图ID清单"/>
    <tableColumn id="14" name="确认状态"/>
    <tableColumn id="15" name="备注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ProductionPackagesTable" displayName="ProductionPackagesTable" ref="A4:L13" totalsRowShown="0">
  <tableColumns count="12">
    <tableColumn id="1" name="生产包编号"/>
    <tableColumn id="2" name="名称"/>
    <tableColumn id="3" name="覆盖镜头"/>
    <tableColumn id="4" name="包含资产"/>
    <tableColumn id="5" name="阶段2执行小组"/>
    <tableColumn id="6" name="前置依赖"/>
    <tableColumn id="7" name="审批门"/>
    <tableColumn id="8" name="交付形态"/>
    <tableColumn id="9" name="完成条件"/>
    <tableColumn id="10" name="阻断项"/>
    <tableColumn id="11" name="可并行生产包"/>
    <tableColumn id="12" name="后续生产包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ConfirmationsTable" displayName="ConfirmationsTable" ref="A4:F18" totalsRowShown="0">
  <tableColumns count="6">
    <tableColumn id="1" name="编号"/>
    <tableColumn id="2" name="优先级"/>
    <tableColumn id="3" name="确认项"/>
    <tableColumn id="4" name="阶段1建议"/>
    <tableColumn id="5" name="不确认的影响"/>
    <tableColumn id="6" name="状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showGridLines="0" workbookViewId="0">
      <selection activeCell="A1" sqref="A1:H1"/>
    </sheetView>
  </sheetViews>
  <sheetFormatPr defaultColWidth="9" defaultRowHeight="14" outlineLevelCol="7"/>
  <cols>
    <col min="1" max="1" width="18" customWidth="1"/>
    <col min="2" max="4" width="10" customWidth="1"/>
    <col min="5" max="5" width="20" customWidth="1"/>
    <col min="6" max="6" width="12" customWidth="1"/>
    <col min="7" max="7" width="14" customWidth="1"/>
    <col min="8" max="8" width="28" customWidth="1"/>
  </cols>
  <sheetData>
    <row r="1" ht="34" customHeight="1" spans="1:8">
      <c r="A1" s="8" t="s">
        <v>0</v>
      </c>
      <c r="B1" s="8"/>
      <c r="C1" s="8"/>
      <c r="D1" s="8"/>
      <c r="E1" s="8"/>
      <c r="F1" s="8"/>
      <c r="G1" s="8"/>
      <c r="H1" s="8"/>
    </row>
    <row r="2" ht="24" customHeight="1" spans="1:8">
      <c r="A2" s="2" t="s">
        <v>1</v>
      </c>
      <c r="B2" s="2"/>
      <c r="C2" s="2"/>
      <c r="D2" s="2"/>
      <c r="E2" s="2"/>
      <c r="F2" s="2"/>
      <c r="G2" s="2"/>
      <c r="H2" s="2"/>
    </row>
    <row r="4" ht="14.5" spans="1:8">
      <c r="A4" s="9" t="s">
        <v>2</v>
      </c>
      <c r="B4" s="9" t="s">
        <v>3</v>
      </c>
      <c r="C4" s="9" t="s">
        <v>4</v>
      </c>
      <c r="D4" s="9" t="s">
        <v>5</v>
      </c>
      <c r="E4" s="10" t="s">
        <v>6</v>
      </c>
      <c r="F4" s="10" t="s">
        <v>7</v>
      </c>
      <c r="G4" s="10" t="s">
        <v>8</v>
      </c>
      <c r="H4" s="10" t="s">
        <v>9</v>
      </c>
    </row>
    <row r="5" ht="14.5" spans="1:8">
      <c r="A5" s="11" t="s">
        <v>10</v>
      </c>
      <c r="B5" s="11">
        <f>COUNTIF(资产主表!$B$5:$B$106,A5)</f>
        <v>4</v>
      </c>
      <c r="C5" s="11">
        <f>COUNTIFS(资产主表!$B$5:$B$106,A5,资产主表!$D$5:$D$106,"P0")</f>
        <v>2</v>
      </c>
      <c r="D5" s="11">
        <f>COUNTIFS(资产主表!$B$5:$B$106,A5,资产主表!$D$5:$D$106,"P1")</f>
        <v>2</v>
      </c>
      <c r="E5" s="12" t="s">
        <v>11</v>
      </c>
      <c r="F5" s="12">
        <f>COUNTA(资产主表!$A$5:$A$106)</f>
        <v>102</v>
      </c>
      <c r="G5" s="12" t="s">
        <v>12</v>
      </c>
      <c r="H5" s="12" t="s">
        <v>13</v>
      </c>
    </row>
    <row r="6" ht="14.5" spans="1:8">
      <c r="A6" s="11" t="s">
        <v>14</v>
      </c>
      <c r="B6" s="11">
        <f>COUNTIF(资产主表!$B$5:$B$106,A6)</f>
        <v>14</v>
      </c>
      <c r="C6" s="11">
        <f>COUNTIFS(资产主表!$B$5:$B$106,A6,资产主表!$D$5:$D$106,"P0")</f>
        <v>3</v>
      </c>
      <c r="D6" s="11">
        <f>COUNTIFS(资产主表!$B$5:$B$106,A6,资产主表!$D$5:$D$106,"P1")</f>
        <v>11</v>
      </c>
      <c r="E6" s="12" t="s">
        <v>15</v>
      </c>
      <c r="F6" s="12">
        <f>F5-COUNTIF(资产主表!$B$5:$B$106,"REL")</f>
        <v>88</v>
      </c>
      <c r="G6" s="12" t="s">
        <v>12</v>
      </c>
      <c r="H6" s="12" t="s">
        <v>16</v>
      </c>
    </row>
    <row r="7" ht="14.5" spans="1:8">
      <c r="A7" s="11" t="s">
        <v>17</v>
      </c>
      <c r="B7" s="11">
        <f>COUNTIF(资产主表!$B$5:$B$106,A7)</f>
        <v>3</v>
      </c>
      <c r="C7" s="11">
        <f>COUNTIFS(资产主表!$B$5:$B$106,A7,资产主表!$D$5:$D$106,"P0")</f>
        <v>1</v>
      </c>
      <c r="D7" s="11">
        <f>COUNTIFS(资产主表!$B$5:$B$106,A7,资产主表!$D$5:$D$106,"P1")</f>
        <v>2</v>
      </c>
      <c r="E7" s="12" t="s">
        <v>18</v>
      </c>
      <c r="F7" s="12">
        <f>COUNTIF(主创确认!$F$5:$F$18,"待主创确认")</f>
        <v>10</v>
      </c>
      <c r="G7" s="12" t="s">
        <v>19</v>
      </c>
      <c r="H7" s="12" t="s">
        <v>20</v>
      </c>
    </row>
    <row r="8" ht="14.5" spans="1:8">
      <c r="A8" s="11" t="s">
        <v>21</v>
      </c>
      <c r="B8" s="11">
        <f>COUNTIF(资产主表!$B$5:$B$106,A8)</f>
        <v>13</v>
      </c>
      <c r="C8" s="11">
        <f>COUNTIFS(资产主表!$B$5:$B$106,A8,资产主表!$D$5:$D$106,"P0")</f>
        <v>4</v>
      </c>
      <c r="D8" s="11">
        <f>COUNTIFS(资产主表!$B$5:$B$106,A8,资产主表!$D$5:$D$106,"P1")</f>
        <v>7</v>
      </c>
      <c r="E8" s="12" t="s">
        <v>22</v>
      </c>
      <c r="F8" s="12">
        <f>COUNTIF(资产主表!$B$5:$B$106,"SCN")</f>
        <v>13</v>
      </c>
      <c r="G8" s="12" t="s">
        <v>23</v>
      </c>
      <c r="H8" s="12" t="s">
        <v>24</v>
      </c>
    </row>
    <row r="9" ht="14.5" spans="1:8">
      <c r="A9" s="11" t="s">
        <v>25</v>
      </c>
      <c r="B9" s="11">
        <f>COUNTIF(资产主表!$B$5:$B$106,A9)</f>
        <v>10</v>
      </c>
      <c r="C9" s="11">
        <f>COUNTIFS(资产主表!$B$5:$B$106,A9,资产主表!$D$5:$D$106,"P0")</f>
        <v>5</v>
      </c>
      <c r="D9" s="11">
        <f>COUNTIFS(资产主表!$B$5:$B$106,A9,资产主表!$D$5:$D$106,"P1")</f>
        <v>5</v>
      </c>
      <c r="E9" s="12" t="s">
        <v>26</v>
      </c>
      <c r="F9" s="12">
        <f>COUNTA(生产包!$A$5:$A$13)</f>
        <v>9</v>
      </c>
      <c r="G9" s="12" t="s">
        <v>27</v>
      </c>
      <c r="H9" s="12" t="s">
        <v>28</v>
      </c>
    </row>
    <row r="10" ht="14.5" spans="1:8">
      <c r="A10" s="11" t="s">
        <v>29</v>
      </c>
      <c r="B10" s="11">
        <f>COUNTIF(资产主表!$B$5:$B$106,A10)</f>
        <v>10</v>
      </c>
      <c r="C10" s="11">
        <f>COUNTIFS(资产主表!$B$5:$B$106,A10,资产主表!$D$5:$D$106,"P0")</f>
        <v>2</v>
      </c>
      <c r="D10" s="11">
        <f>COUNTIFS(资产主表!$B$5:$B$106,A10,资产主表!$D$5:$D$106,"P1")</f>
        <v>7</v>
      </c>
    </row>
    <row r="11" ht="14.5" spans="1:8">
      <c r="A11" s="11" t="s">
        <v>30</v>
      </c>
      <c r="B11" s="11">
        <f>COUNTIF(资产主表!$B$5:$B$106,A11)</f>
        <v>10</v>
      </c>
      <c r="C11" s="11">
        <f>COUNTIFS(资产主表!$B$5:$B$106,A11,资产主表!$D$5:$D$106,"P0")</f>
        <v>5</v>
      </c>
      <c r="D11" s="11">
        <f>COUNTIFS(资产主表!$B$5:$B$106,A11,资产主表!$D$5:$D$106,"P1")</f>
        <v>4</v>
      </c>
    </row>
    <row r="12" ht="14.5" spans="1:8">
      <c r="A12" s="11" t="s">
        <v>31</v>
      </c>
      <c r="B12" s="11">
        <f>COUNTIF(资产主表!$B$5:$B$106,A12)</f>
        <v>6</v>
      </c>
      <c r="C12" s="11">
        <f>COUNTIFS(资产主表!$B$5:$B$106,A12,资产主表!$D$5:$D$106,"P0")</f>
        <v>1</v>
      </c>
      <c r="D12" s="11">
        <f>COUNTIFS(资产主表!$B$5:$B$106,A12,资产主表!$D$5:$D$106,"P1")</f>
        <v>3</v>
      </c>
    </row>
    <row r="13" ht="14.5" spans="1:8">
      <c r="A13" s="11" t="s">
        <v>32</v>
      </c>
      <c r="B13" s="11">
        <f>COUNTIF(资产主表!$B$5:$B$106,A13)</f>
        <v>2</v>
      </c>
      <c r="C13" s="11">
        <f>COUNTIFS(资产主表!$B$5:$B$106,A13,资产主表!$D$5:$D$106,"P0")</f>
        <v>1</v>
      </c>
      <c r="D13" s="11">
        <f>COUNTIFS(资产主表!$B$5:$B$106,A13,资产主表!$D$5:$D$106,"P1")</f>
        <v>1</v>
      </c>
    </row>
    <row r="14" ht="14.5" spans="1:8">
      <c r="A14" s="11" t="s">
        <v>33</v>
      </c>
      <c r="B14" s="11">
        <f>COUNTIF(资产主表!$B$5:$B$106,A14)</f>
        <v>16</v>
      </c>
      <c r="C14" s="11">
        <f>COUNTIFS(资产主表!$B$5:$B$106,A14,资产主表!$D$5:$D$106,"P0")</f>
        <v>7</v>
      </c>
      <c r="D14" s="11">
        <f>COUNTIFS(资产主表!$B$5:$B$106,A14,资产主表!$D$5:$D$106,"P1")</f>
        <v>8</v>
      </c>
    </row>
    <row r="15" ht="14.5" spans="1:8">
      <c r="A15" s="11" t="s">
        <v>34</v>
      </c>
      <c r="B15" s="11">
        <f>COUNTIF(资产主表!$B$5:$B$106,A15)</f>
        <v>14</v>
      </c>
      <c r="C15" s="11">
        <f>COUNTIFS(资产主表!$B$5:$B$106,A15,资产主表!$D$5:$D$106,"P0")</f>
        <v>10</v>
      </c>
      <c r="D15" s="11">
        <f>COUNTIFS(资产主表!$B$5:$B$106,A15,资产主表!$D$5:$D$106,"P1")</f>
        <v>4</v>
      </c>
    </row>
  </sheetData>
  <mergeCells count="2">
    <mergeCell ref="A1:H1"/>
    <mergeCell ref="A2:H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6"/>
  <sheetViews>
    <sheetView showGridLines="0" workbookViewId="0">
      <selection activeCell="L5" sqref="L5"/>
    </sheetView>
  </sheetViews>
  <sheetFormatPr defaultColWidth="9" defaultRowHeight="14"/>
  <cols>
    <col min="1" max="1" width="38" customWidth="1"/>
    <col min="2" max="2" width="10" customWidth="1"/>
    <col min="3" max="3" width="24" customWidth="1"/>
    <col min="4" max="4" width="8" customWidth="1"/>
    <col min="5" max="6" width="18" customWidth="1"/>
    <col min="7" max="7" width="34" customWidth="1"/>
    <col min="8" max="8" width="38" customWidth="1"/>
    <col min="9" max="9" width="28" customWidth="1"/>
    <col min="10" max="10" width="34" customWidth="1"/>
    <col min="11" max="11" width="32" customWidth="1"/>
    <col min="12" max="12" width="34" customWidth="1"/>
    <col min="13" max="13" width="22" customWidth="1"/>
    <col min="14" max="14" width="26" customWidth="1"/>
    <col min="15" max="15" width="16" customWidth="1"/>
    <col min="16" max="16" width="34" customWidth="1"/>
  </cols>
  <sheetData>
    <row r="1" ht="30" customHeight="1" spans="1:16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2" customHeight="1" spans="1:16">
      <c r="A2" s="2" t="s">
        <v>36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ht="30" customHeight="1" spans="1:16">
      <c r="A4" s="3" t="s">
        <v>37</v>
      </c>
      <c r="B4" s="4" t="s">
        <v>2</v>
      </c>
      <c r="C4" s="4" t="s">
        <v>38</v>
      </c>
      <c r="D4" s="4" t="s">
        <v>39</v>
      </c>
      <c r="E4" s="4" t="s">
        <v>40</v>
      </c>
      <c r="F4" s="4" t="s">
        <v>41</v>
      </c>
      <c r="G4" s="4" t="s">
        <v>42</v>
      </c>
      <c r="H4" s="4" t="s">
        <v>43</v>
      </c>
      <c r="I4" s="4" t="s">
        <v>44</v>
      </c>
      <c r="J4" s="4" t="s">
        <v>45</v>
      </c>
      <c r="K4" s="4" t="s">
        <v>46</v>
      </c>
      <c r="L4" s="4" t="s">
        <v>47</v>
      </c>
      <c r="M4" s="4" t="s">
        <v>48</v>
      </c>
      <c r="N4" s="4" t="s">
        <v>49</v>
      </c>
      <c r="O4" s="4" t="s">
        <v>50</v>
      </c>
      <c r="P4" s="5" t="s">
        <v>51</v>
      </c>
    </row>
    <row r="5" ht="42" customHeight="1" spans="1:16">
      <c r="A5" s="6" t="s">
        <v>52</v>
      </c>
      <c r="B5" s="6" t="s">
        <v>10</v>
      </c>
      <c r="C5" s="6" t="s">
        <v>53</v>
      </c>
      <c r="D5" s="6" t="s">
        <v>4</v>
      </c>
      <c r="E5" s="6" t="s">
        <v>54</v>
      </c>
      <c r="F5" s="6" t="s">
        <v>55</v>
      </c>
      <c r="G5" s="6" t="s">
        <v>56</v>
      </c>
      <c r="H5" s="6" t="s">
        <v>57</v>
      </c>
      <c r="I5" s="6" t="s">
        <v>58</v>
      </c>
      <c r="J5" s="6" t="s">
        <v>59</v>
      </c>
      <c r="K5" s="6" t="s">
        <v>60</v>
      </c>
      <c r="L5" s="6" t="s">
        <v>61</v>
      </c>
      <c r="M5" s="6" t="s">
        <v>55</v>
      </c>
      <c r="N5" s="6" t="s">
        <v>62</v>
      </c>
      <c r="O5" s="6" t="s">
        <v>63</v>
      </c>
      <c r="P5" s="6" t="s">
        <v>64</v>
      </c>
    </row>
    <row r="6" ht="42" customHeight="1" spans="1:16">
      <c r="A6" s="7" t="s">
        <v>65</v>
      </c>
      <c r="B6" s="7" t="s">
        <v>10</v>
      </c>
      <c r="C6" s="7" t="s">
        <v>66</v>
      </c>
      <c r="D6" s="7" t="s">
        <v>4</v>
      </c>
      <c r="E6" s="7" t="s">
        <v>67</v>
      </c>
      <c r="F6" s="7" t="s">
        <v>68</v>
      </c>
      <c r="G6" s="7" t="s">
        <v>69</v>
      </c>
      <c r="H6" s="7" t="s">
        <v>70</v>
      </c>
      <c r="I6" s="7" t="s">
        <v>58</v>
      </c>
      <c r="J6" s="7" t="s">
        <v>71</v>
      </c>
      <c r="K6" s="7" t="s">
        <v>60</v>
      </c>
      <c r="L6" s="7" t="s">
        <v>61</v>
      </c>
      <c r="M6" s="7" t="s">
        <v>68</v>
      </c>
      <c r="N6" s="7" t="s">
        <v>62</v>
      </c>
      <c r="O6" s="7" t="s">
        <v>72</v>
      </c>
      <c r="P6" s="7" t="s">
        <v>64</v>
      </c>
    </row>
    <row r="7" ht="42" customHeight="1" spans="1:16">
      <c r="A7" s="7" t="s">
        <v>73</v>
      </c>
      <c r="B7" s="7" t="s">
        <v>10</v>
      </c>
      <c r="C7" s="7" t="s">
        <v>74</v>
      </c>
      <c r="D7" s="7" t="s">
        <v>5</v>
      </c>
      <c r="E7" s="7" t="s">
        <v>75</v>
      </c>
      <c r="F7" s="7" t="s">
        <v>76</v>
      </c>
      <c r="G7" s="7" t="s">
        <v>77</v>
      </c>
      <c r="H7" s="7" t="s">
        <v>78</v>
      </c>
      <c r="I7" s="7" t="s">
        <v>58</v>
      </c>
      <c r="J7" s="7" t="s">
        <v>79</v>
      </c>
      <c r="K7" s="7" t="s">
        <v>60</v>
      </c>
      <c r="L7" s="7" t="s">
        <v>61</v>
      </c>
      <c r="M7" s="7" t="s">
        <v>76</v>
      </c>
      <c r="N7" s="7" t="s">
        <v>62</v>
      </c>
      <c r="O7" s="7" t="s">
        <v>72</v>
      </c>
      <c r="P7" s="7" t="s">
        <v>80</v>
      </c>
    </row>
    <row r="8" ht="42" customHeight="1" spans="1:16">
      <c r="A8" s="7" t="s">
        <v>81</v>
      </c>
      <c r="B8" s="7" t="s">
        <v>10</v>
      </c>
      <c r="C8" s="7" t="s">
        <v>82</v>
      </c>
      <c r="D8" s="7" t="s">
        <v>5</v>
      </c>
      <c r="E8" s="7" t="s">
        <v>83</v>
      </c>
      <c r="F8" s="7" t="s">
        <v>84</v>
      </c>
      <c r="G8" s="7" t="s">
        <v>85</v>
      </c>
      <c r="H8" s="7" t="s">
        <v>86</v>
      </c>
      <c r="I8" s="7" t="s">
        <v>58</v>
      </c>
      <c r="J8" s="7" t="s">
        <v>87</v>
      </c>
      <c r="K8" s="7" t="s">
        <v>60</v>
      </c>
      <c r="L8" s="7" t="s">
        <v>61</v>
      </c>
      <c r="M8" s="7" t="s">
        <v>84</v>
      </c>
      <c r="N8" s="7" t="s">
        <v>62</v>
      </c>
      <c r="O8" s="7" t="s">
        <v>72</v>
      </c>
      <c r="P8" s="7" t="s">
        <v>80</v>
      </c>
    </row>
    <row r="9" ht="42" customHeight="1" spans="1:16">
      <c r="A9" s="7" t="s">
        <v>88</v>
      </c>
      <c r="B9" s="7" t="s">
        <v>14</v>
      </c>
      <c r="C9" s="7" t="s">
        <v>89</v>
      </c>
      <c r="D9" s="7" t="s">
        <v>4</v>
      </c>
      <c r="E9" s="7" t="s">
        <v>90</v>
      </c>
      <c r="F9" s="7" t="s">
        <v>91</v>
      </c>
      <c r="G9" s="7" t="s">
        <v>92</v>
      </c>
      <c r="H9" s="7" t="s">
        <v>93</v>
      </c>
      <c r="I9" s="7" t="s">
        <v>94</v>
      </c>
      <c r="J9" s="7" t="s">
        <v>95</v>
      </c>
      <c r="K9" s="7" t="s">
        <v>60</v>
      </c>
      <c r="L9" s="7" t="s">
        <v>96</v>
      </c>
      <c r="M9" s="7" t="s">
        <v>97</v>
      </c>
      <c r="N9" s="7" t="s">
        <v>98</v>
      </c>
      <c r="O9" s="7" t="s">
        <v>63</v>
      </c>
      <c r="P9" s="7" t="s">
        <v>64</v>
      </c>
    </row>
    <row r="10" ht="42" customHeight="1" spans="1:16">
      <c r="A10" s="7" t="s">
        <v>99</v>
      </c>
      <c r="B10" s="7" t="s">
        <v>14</v>
      </c>
      <c r="C10" s="7" t="s">
        <v>100</v>
      </c>
      <c r="D10" s="7" t="s">
        <v>4</v>
      </c>
      <c r="E10" s="7" t="s">
        <v>101</v>
      </c>
      <c r="F10" s="7" t="s">
        <v>102</v>
      </c>
      <c r="G10" s="7" t="s">
        <v>103</v>
      </c>
      <c r="H10" s="7" t="s">
        <v>104</v>
      </c>
      <c r="I10" s="7" t="s">
        <v>94</v>
      </c>
      <c r="J10" s="7" t="s">
        <v>105</v>
      </c>
      <c r="K10" s="7" t="s">
        <v>60</v>
      </c>
      <c r="L10" s="7" t="s">
        <v>96</v>
      </c>
      <c r="M10" s="7" t="s">
        <v>97</v>
      </c>
      <c r="N10" s="7" t="s">
        <v>98</v>
      </c>
      <c r="O10" s="7" t="s">
        <v>72</v>
      </c>
      <c r="P10" s="7" t="s">
        <v>64</v>
      </c>
    </row>
    <row r="11" ht="42" customHeight="1" spans="1:16">
      <c r="A11" s="7" t="s">
        <v>106</v>
      </c>
      <c r="B11" s="7" t="s">
        <v>14</v>
      </c>
      <c r="C11" s="7" t="s">
        <v>107</v>
      </c>
      <c r="D11" s="7" t="s">
        <v>5</v>
      </c>
      <c r="E11" s="7" t="s">
        <v>108</v>
      </c>
      <c r="F11" s="7" t="s">
        <v>109</v>
      </c>
      <c r="G11" s="7" t="s">
        <v>110</v>
      </c>
      <c r="H11" s="7" t="s">
        <v>111</v>
      </c>
      <c r="I11" s="7" t="s">
        <v>94</v>
      </c>
      <c r="J11" s="7" t="s">
        <v>112</v>
      </c>
      <c r="K11" s="7" t="s">
        <v>60</v>
      </c>
      <c r="L11" s="7" t="s">
        <v>96</v>
      </c>
      <c r="M11" s="7" t="s">
        <v>97</v>
      </c>
      <c r="N11" s="7" t="s">
        <v>98</v>
      </c>
      <c r="O11" s="7" t="s">
        <v>72</v>
      </c>
      <c r="P11" s="7" t="s">
        <v>80</v>
      </c>
    </row>
    <row r="12" ht="42" customHeight="1" spans="1:16">
      <c r="A12" s="7" t="s">
        <v>113</v>
      </c>
      <c r="B12" s="7" t="s">
        <v>14</v>
      </c>
      <c r="C12" s="7" t="s">
        <v>114</v>
      </c>
      <c r="D12" s="7" t="s">
        <v>5</v>
      </c>
      <c r="E12" s="7" t="s">
        <v>115</v>
      </c>
      <c r="F12" s="7" t="s">
        <v>116</v>
      </c>
      <c r="G12" s="7" t="s">
        <v>117</v>
      </c>
      <c r="H12" s="7" t="s">
        <v>118</v>
      </c>
      <c r="I12" s="7" t="s">
        <v>94</v>
      </c>
      <c r="J12" s="7" t="s">
        <v>119</v>
      </c>
      <c r="K12" s="7" t="s">
        <v>60</v>
      </c>
      <c r="L12" s="7" t="s">
        <v>96</v>
      </c>
      <c r="M12" s="7" t="s">
        <v>97</v>
      </c>
      <c r="N12" s="7" t="s">
        <v>98</v>
      </c>
      <c r="O12" s="7" t="s">
        <v>72</v>
      </c>
      <c r="P12" s="7" t="s">
        <v>80</v>
      </c>
    </row>
    <row r="13" ht="42" customHeight="1" spans="1:16">
      <c r="A13" s="7" t="s">
        <v>120</v>
      </c>
      <c r="B13" s="7" t="s">
        <v>14</v>
      </c>
      <c r="C13" s="7" t="s">
        <v>121</v>
      </c>
      <c r="D13" s="7" t="s">
        <v>5</v>
      </c>
      <c r="E13" s="7" t="s">
        <v>83</v>
      </c>
      <c r="F13" s="7" t="s">
        <v>84</v>
      </c>
      <c r="G13" s="7" t="s">
        <v>122</v>
      </c>
      <c r="H13" s="7" t="s">
        <v>123</v>
      </c>
      <c r="I13" s="7" t="s">
        <v>94</v>
      </c>
      <c r="J13" s="7" t="s">
        <v>124</v>
      </c>
      <c r="K13" s="7" t="s">
        <v>60</v>
      </c>
      <c r="L13" s="7" t="s">
        <v>96</v>
      </c>
      <c r="M13" s="7" t="s">
        <v>97</v>
      </c>
      <c r="N13" s="7" t="s">
        <v>98</v>
      </c>
      <c r="O13" s="7" t="s">
        <v>72</v>
      </c>
      <c r="P13" s="7" t="s">
        <v>80</v>
      </c>
    </row>
    <row r="14" ht="42" customHeight="1" spans="1:16">
      <c r="A14" s="7" t="s">
        <v>125</v>
      </c>
      <c r="B14" s="7" t="s">
        <v>14</v>
      </c>
      <c r="C14" s="7" t="s">
        <v>126</v>
      </c>
      <c r="D14" s="7" t="s">
        <v>5</v>
      </c>
      <c r="E14" s="7" t="s">
        <v>127</v>
      </c>
      <c r="F14" s="7" t="s">
        <v>128</v>
      </c>
      <c r="G14" s="7" t="s">
        <v>129</v>
      </c>
      <c r="H14" s="7" t="s">
        <v>130</v>
      </c>
      <c r="I14" s="7" t="s">
        <v>94</v>
      </c>
      <c r="J14" s="7" t="s">
        <v>131</v>
      </c>
      <c r="K14" s="7" t="s">
        <v>60</v>
      </c>
      <c r="L14" s="7" t="s">
        <v>96</v>
      </c>
      <c r="M14" s="7" t="s">
        <v>97</v>
      </c>
      <c r="N14" s="7" t="s">
        <v>98</v>
      </c>
      <c r="O14" s="7" t="s">
        <v>72</v>
      </c>
      <c r="P14" s="7" t="s">
        <v>80</v>
      </c>
    </row>
    <row r="15" ht="42" customHeight="1" spans="1:16">
      <c r="A15" s="7" t="s">
        <v>132</v>
      </c>
      <c r="B15" s="7" t="s">
        <v>14</v>
      </c>
      <c r="C15" s="7" t="s">
        <v>133</v>
      </c>
      <c r="D15" s="7" t="s">
        <v>5</v>
      </c>
      <c r="E15" s="7" t="s">
        <v>134</v>
      </c>
      <c r="F15" s="7" t="s">
        <v>135</v>
      </c>
      <c r="G15" s="7" t="s">
        <v>136</v>
      </c>
      <c r="H15" s="7" t="s">
        <v>137</v>
      </c>
      <c r="I15" s="7" t="s">
        <v>94</v>
      </c>
      <c r="J15" s="7" t="s">
        <v>138</v>
      </c>
      <c r="K15" s="7" t="s">
        <v>60</v>
      </c>
      <c r="L15" s="7" t="s">
        <v>96</v>
      </c>
      <c r="M15" s="7" t="s">
        <v>97</v>
      </c>
      <c r="N15" s="7" t="s">
        <v>98</v>
      </c>
      <c r="O15" s="7" t="s">
        <v>72</v>
      </c>
      <c r="P15" s="7" t="s">
        <v>80</v>
      </c>
    </row>
    <row r="16" ht="42" customHeight="1" spans="1:16">
      <c r="A16" s="7" t="s">
        <v>139</v>
      </c>
      <c r="B16" s="7" t="s">
        <v>14</v>
      </c>
      <c r="C16" s="7" t="s">
        <v>140</v>
      </c>
      <c r="D16" s="7" t="s">
        <v>5</v>
      </c>
      <c r="E16" s="7" t="s">
        <v>141</v>
      </c>
      <c r="F16" s="7" t="s">
        <v>142</v>
      </c>
      <c r="G16" s="7" t="s">
        <v>143</v>
      </c>
      <c r="H16" s="7" t="s">
        <v>144</v>
      </c>
      <c r="I16" s="7" t="s">
        <v>94</v>
      </c>
      <c r="J16" s="7" t="s">
        <v>145</v>
      </c>
      <c r="K16" s="7" t="s">
        <v>60</v>
      </c>
      <c r="L16" s="7" t="s">
        <v>96</v>
      </c>
      <c r="M16" s="7" t="s">
        <v>97</v>
      </c>
      <c r="N16" s="7" t="s">
        <v>98</v>
      </c>
      <c r="O16" s="7" t="s">
        <v>72</v>
      </c>
      <c r="P16" s="7" t="s">
        <v>80</v>
      </c>
    </row>
    <row r="17" ht="42" customHeight="1" spans="1:16">
      <c r="A17" s="7" t="s">
        <v>146</v>
      </c>
      <c r="B17" s="7" t="s">
        <v>14</v>
      </c>
      <c r="C17" s="7" t="s">
        <v>147</v>
      </c>
      <c r="D17" s="7" t="s">
        <v>5</v>
      </c>
      <c r="E17" s="7" t="s">
        <v>148</v>
      </c>
      <c r="F17" s="7" t="s">
        <v>149</v>
      </c>
      <c r="G17" s="7" t="s">
        <v>150</v>
      </c>
      <c r="H17" s="7" t="s">
        <v>151</v>
      </c>
      <c r="I17" s="7" t="s">
        <v>94</v>
      </c>
      <c r="J17" s="7" t="s">
        <v>152</v>
      </c>
      <c r="K17" s="7" t="s">
        <v>60</v>
      </c>
      <c r="L17" s="7" t="s">
        <v>96</v>
      </c>
      <c r="M17" s="7" t="s">
        <v>97</v>
      </c>
      <c r="N17" s="7" t="s">
        <v>98</v>
      </c>
      <c r="O17" s="7" t="s">
        <v>72</v>
      </c>
      <c r="P17" s="7" t="s">
        <v>80</v>
      </c>
    </row>
    <row r="18" ht="42" customHeight="1" spans="1:16">
      <c r="A18" s="7" t="s">
        <v>153</v>
      </c>
      <c r="B18" s="7" t="s">
        <v>14</v>
      </c>
      <c r="C18" s="7" t="s">
        <v>154</v>
      </c>
      <c r="D18" s="7" t="s">
        <v>5</v>
      </c>
      <c r="E18" s="7" t="s">
        <v>155</v>
      </c>
      <c r="F18" s="7" t="s">
        <v>156</v>
      </c>
      <c r="G18" s="7" t="s">
        <v>157</v>
      </c>
      <c r="H18" s="7" t="s">
        <v>158</v>
      </c>
      <c r="I18" s="7" t="s">
        <v>94</v>
      </c>
      <c r="J18" s="7" t="s">
        <v>159</v>
      </c>
      <c r="K18" s="7" t="s">
        <v>60</v>
      </c>
      <c r="L18" s="7" t="s">
        <v>96</v>
      </c>
      <c r="M18" s="7" t="s">
        <v>97</v>
      </c>
      <c r="N18" s="7" t="s">
        <v>98</v>
      </c>
      <c r="O18" s="7" t="s">
        <v>72</v>
      </c>
      <c r="P18" s="7" t="s">
        <v>80</v>
      </c>
    </row>
    <row r="19" ht="42" customHeight="1" spans="1:16">
      <c r="A19" s="7" t="s">
        <v>160</v>
      </c>
      <c r="B19" s="7" t="s">
        <v>14</v>
      </c>
      <c r="C19" s="7" t="s">
        <v>161</v>
      </c>
      <c r="D19" s="7" t="s">
        <v>5</v>
      </c>
      <c r="E19" s="7" t="s">
        <v>155</v>
      </c>
      <c r="F19" s="7" t="s">
        <v>156</v>
      </c>
      <c r="G19" s="7" t="s">
        <v>162</v>
      </c>
      <c r="H19" s="7" t="s">
        <v>163</v>
      </c>
      <c r="I19" s="7" t="s">
        <v>94</v>
      </c>
      <c r="J19" s="7" t="s">
        <v>164</v>
      </c>
      <c r="K19" s="7" t="s">
        <v>60</v>
      </c>
      <c r="L19" s="7" t="s">
        <v>96</v>
      </c>
      <c r="M19" s="7" t="s">
        <v>97</v>
      </c>
      <c r="N19" s="7" t="s">
        <v>98</v>
      </c>
      <c r="O19" s="7" t="s">
        <v>72</v>
      </c>
      <c r="P19" s="7" t="s">
        <v>80</v>
      </c>
    </row>
    <row r="20" ht="42" customHeight="1" spans="1:16">
      <c r="A20" s="7" t="s">
        <v>165</v>
      </c>
      <c r="B20" s="7" t="s">
        <v>14</v>
      </c>
      <c r="C20" s="7" t="s">
        <v>166</v>
      </c>
      <c r="D20" s="7" t="s">
        <v>5</v>
      </c>
      <c r="E20" s="7" t="s">
        <v>155</v>
      </c>
      <c r="F20" s="7" t="s">
        <v>156</v>
      </c>
      <c r="G20" s="7" t="s">
        <v>167</v>
      </c>
      <c r="H20" s="7" t="s">
        <v>168</v>
      </c>
      <c r="I20" s="7" t="s">
        <v>94</v>
      </c>
      <c r="J20" s="7" t="s">
        <v>169</v>
      </c>
      <c r="K20" s="7" t="s">
        <v>60</v>
      </c>
      <c r="L20" s="7" t="s">
        <v>96</v>
      </c>
      <c r="M20" s="7" t="s">
        <v>97</v>
      </c>
      <c r="N20" s="7" t="s">
        <v>98</v>
      </c>
      <c r="O20" s="7" t="s">
        <v>72</v>
      </c>
      <c r="P20" s="7" t="s">
        <v>80</v>
      </c>
    </row>
    <row r="21" ht="42" customHeight="1" spans="1:16">
      <c r="A21" s="7" t="s">
        <v>170</v>
      </c>
      <c r="B21" s="7" t="s">
        <v>14</v>
      </c>
      <c r="C21" s="7" t="s">
        <v>171</v>
      </c>
      <c r="D21" s="7" t="s">
        <v>5</v>
      </c>
      <c r="E21" s="7" t="s">
        <v>155</v>
      </c>
      <c r="F21" s="7" t="s">
        <v>156</v>
      </c>
      <c r="G21" s="7" t="s">
        <v>172</v>
      </c>
      <c r="H21" s="7" t="s">
        <v>173</v>
      </c>
      <c r="I21" s="7" t="s">
        <v>94</v>
      </c>
      <c r="J21" s="7" t="s">
        <v>174</v>
      </c>
      <c r="K21" s="7" t="s">
        <v>60</v>
      </c>
      <c r="L21" s="7" t="s">
        <v>96</v>
      </c>
      <c r="M21" s="7" t="s">
        <v>97</v>
      </c>
      <c r="N21" s="7" t="s">
        <v>98</v>
      </c>
      <c r="O21" s="7" t="s">
        <v>72</v>
      </c>
      <c r="P21" s="7" t="s">
        <v>80</v>
      </c>
    </row>
    <row r="22" ht="42" customHeight="1" spans="1:16">
      <c r="A22" s="7" t="s">
        <v>175</v>
      </c>
      <c r="B22" s="7" t="s">
        <v>14</v>
      </c>
      <c r="C22" s="7" t="s">
        <v>176</v>
      </c>
      <c r="D22" s="7" t="s">
        <v>4</v>
      </c>
      <c r="E22" s="7" t="s">
        <v>177</v>
      </c>
      <c r="F22" s="7" t="s">
        <v>178</v>
      </c>
      <c r="G22" s="7" t="s">
        <v>179</v>
      </c>
      <c r="H22" s="7" t="s">
        <v>180</v>
      </c>
      <c r="I22" s="7" t="s">
        <v>94</v>
      </c>
      <c r="J22" s="7" t="s">
        <v>181</v>
      </c>
      <c r="K22" s="7" t="s">
        <v>60</v>
      </c>
      <c r="L22" s="7" t="s">
        <v>96</v>
      </c>
      <c r="M22" s="7" t="s">
        <v>97</v>
      </c>
      <c r="N22" s="7" t="s">
        <v>98</v>
      </c>
      <c r="O22" s="7" t="s">
        <v>72</v>
      </c>
      <c r="P22" s="7" t="s">
        <v>64</v>
      </c>
    </row>
    <row r="23" ht="42" customHeight="1" spans="1:16">
      <c r="A23" s="7" t="s">
        <v>182</v>
      </c>
      <c r="B23" s="7" t="s">
        <v>17</v>
      </c>
      <c r="C23" s="7" t="s">
        <v>183</v>
      </c>
      <c r="D23" s="7" t="s">
        <v>4</v>
      </c>
      <c r="E23" s="7" t="s">
        <v>184</v>
      </c>
      <c r="F23" s="7" t="s">
        <v>185</v>
      </c>
      <c r="G23" s="7" t="s">
        <v>186</v>
      </c>
      <c r="H23" s="7" t="s">
        <v>187</v>
      </c>
      <c r="I23" s="7" t="s">
        <v>58</v>
      </c>
      <c r="J23" s="7" t="s">
        <v>186</v>
      </c>
      <c r="K23" s="7" t="s">
        <v>60</v>
      </c>
      <c r="L23" s="7" t="s">
        <v>188</v>
      </c>
      <c r="M23" s="7" t="s">
        <v>185</v>
      </c>
      <c r="N23" s="7" t="s">
        <v>62</v>
      </c>
      <c r="O23" s="7" t="s">
        <v>189</v>
      </c>
      <c r="P23" s="7" t="s">
        <v>64</v>
      </c>
    </row>
    <row r="24" ht="42" customHeight="1" spans="1:16">
      <c r="A24" s="7" t="s">
        <v>190</v>
      </c>
      <c r="B24" s="7" t="s">
        <v>17</v>
      </c>
      <c r="C24" s="7" t="s">
        <v>191</v>
      </c>
      <c r="D24" s="7" t="s">
        <v>5</v>
      </c>
      <c r="E24" s="7" t="s">
        <v>192</v>
      </c>
      <c r="F24" s="7" t="s">
        <v>193</v>
      </c>
      <c r="G24" s="7" t="s">
        <v>194</v>
      </c>
      <c r="H24" s="7" t="s">
        <v>195</v>
      </c>
      <c r="I24" s="7" t="s">
        <v>58</v>
      </c>
      <c r="J24" s="7" t="s">
        <v>194</v>
      </c>
      <c r="K24" s="7" t="s">
        <v>60</v>
      </c>
      <c r="L24" s="7" t="s">
        <v>188</v>
      </c>
      <c r="M24" s="7" t="s">
        <v>193</v>
      </c>
      <c r="N24" s="7" t="s">
        <v>62</v>
      </c>
      <c r="O24" s="7" t="s">
        <v>72</v>
      </c>
      <c r="P24" s="7" t="s">
        <v>80</v>
      </c>
    </row>
    <row r="25" ht="42" customHeight="1" spans="1:16">
      <c r="A25" s="7" t="s">
        <v>196</v>
      </c>
      <c r="B25" s="7" t="s">
        <v>17</v>
      </c>
      <c r="C25" s="7" t="s">
        <v>197</v>
      </c>
      <c r="D25" s="7" t="s">
        <v>5</v>
      </c>
      <c r="E25" s="7" t="s">
        <v>198</v>
      </c>
      <c r="F25" s="7" t="s">
        <v>199</v>
      </c>
      <c r="G25" s="7" t="s">
        <v>200</v>
      </c>
      <c r="H25" s="7" t="s">
        <v>201</v>
      </c>
      <c r="I25" s="7" t="s">
        <v>58</v>
      </c>
      <c r="J25" s="7" t="s">
        <v>200</v>
      </c>
      <c r="K25" s="7" t="s">
        <v>60</v>
      </c>
      <c r="L25" s="7" t="s">
        <v>188</v>
      </c>
      <c r="M25" s="7" t="s">
        <v>199</v>
      </c>
      <c r="N25" s="7" t="s">
        <v>62</v>
      </c>
      <c r="O25" s="7" t="s">
        <v>72</v>
      </c>
      <c r="P25" s="7" t="s">
        <v>80</v>
      </c>
    </row>
    <row r="26" ht="42" customHeight="1" spans="1:16">
      <c r="A26" s="7" t="s">
        <v>202</v>
      </c>
      <c r="B26" s="7" t="s">
        <v>21</v>
      </c>
      <c r="C26" s="7" t="s">
        <v>203</v>
      </c>
      <c r="D26" s="7" t="s">
        <v>4</v>
      </c>
      <c r="E26" s="7" t="s">
        <v>204</v>
      </c>
      <c r="F26" s="7" t="s">
        <v>205</v>
      </c>
      <c r="G26" s="7" t="s">
        <v>206</v>
      </c>
      <c r="H26" s="7" t="s">
        <v>207</v>
      </c>
      <c r="I26" s="7" t="s">
        <v>58</v>
      </c>
      <c r="J26" s="7" t="s">
        <v>208</v>
      </c>
      <c r="K26" s="7" t="s">
        <v>206</v>
      </c>
      <c r="L26" s="7" t="s">
        <v>209</v>
      </c>
      <c r="M26" s="7" t="s">
        <v>205</v>
      </c>
      <c r="N26" s="7" t="s">
        <v>210</v>
      </c>
      <c r="O26" s="7" t="s">
        <v>23</v>
      </c>
      <c r="P26" s="7" t="s">
        <v>64</v>
      </c>
    </row>
    <row r="27" ht="42" customHeight="1" spans="1:16">
      <c r="A27" s="7" t="s">
        <v>211</v>
      </c>
      <c r="B27" s="7" t="s">
        <v>21</v>
      </c>
      <c r="C27" s="7" t="s">
        <v>212</v>
      </c>
      <c r="D27" s="7" t="s">
        <v>4</v>
      </c>
      <c r="E27" s="7" t="s">
        <v>213</v>
      </c>
      <c r="F27" s="7" t="s">
        <v>214</v>
      </c>
      <c r="G27" s="7" t="s">
        <v>215</v>
      </c>
      <c r="H27" s="7" t="s">
        <v>216</v>
      </c>
      <c r="I27" s="7" t="s">
        <v>58</v>
      </c>
      <c r="J27" s="7" t="s">
        <v>217</v>
      </c>
      <c r="K27" s="7" t="s">
        <v>215</v>
      </c>
      <c r="L27" s="7" t="s">
        <v>209</v>
      </c>
      <c r="M27" s="7" t="s">
        <v>214</v>
      </c>
      <c r="N27" s="7" t="s">
        <v>210</v>
      </c>
      <c r="O27" s="7" t="s">
        <v>23</v>
      </c>
      <c r="P27" s="7" t="s">
        <v>64</v>
      </c>
    </row>
    <row r="28" ht="42" customHeight="1" spans="1:16">
      <c r="A28" s="7" t="s">
        <v>218</v>
      </c>
      <c r="B28" s="7" t="s">
        <v>21</v>
      </c>
      <c r="C28" s="7" t="s">
        <v>219</v>
      </c>
      <c r="D28" s="7" t="s">
        <v>4</v>
      </c>
      <c r="E28" s="7" t="s">
        <v>220</v>
      </c>
      <c r="F28" s="7" t="s">
        <v>221</v>
      </c>
      <c r="G28" s="7" t="s">
        <v>222</v>
      </c>
      <c r="H28" s="7" t="s">
        <v>223</v>
      </c>
      <c r="I28" s="7" t="s">
        <v>58</v>
      </c>
      <c r="J28" s="7" t="s">
        <v>224</v>
      </c>
      <c r="K28" s="7" t="s">
        <v>222</v>
      </c>
      <c r="L28" s="7" t="s">
        <v>209</v>
      </c>
      <c r="M28" s="7" t="s">
        <v>221</v>
      </c>
      <c r="N28" s="7" t="s">
        <v>210</v>
      </c>
      <c r="O28" s="7" t="s">
        <v>23</v>
      </c>
      <c r="P28" s="7" t="s">
        <v>64</v>
      </c>
    </row>
    <row r="29" ht="42" customHeight="1" spans="1:16">
      <c r="A29" s="7" t="s">
        <v>225</v>
      </c>
      <c r="B29" s="7" t="s">
        <v>21</v>
      </c>
      <c r="C29" s="7" t="s">
        <v>226</v>
      </c>
      <c r="D29" s="7" t="s">
        <v>5</v>
      </c>
      <c r="E29" s="7" t="s">
        <v>227</v>
      </c>
      <c r="F29" s="7" t="s">
        <v>228</v>
      </c>
      <c r="G29" s="7" t="s">
        <v>229</v>
      </c>
      <c r="H29" s="7" t="s">
        <v>230</v>
      </c>
      <c r="I29" s="7" t="s">
        <v>58</v>
      </c>
      <c r="J29" s="7" t="s">
        <v>231</v>
      </c>
      <c r="K29" s="7" t="s">
        <v>229</v>
      </c>
      <c r="L29" s="7" t="s">
        <v>209</v>
      </c>
      <c r="M29" s="7" t="s">
        <v>228</v>
      </c>
      <c r="N29" s="7" t="s">
        <v>210</v>
      </c>
      <c r="O29" s="7" t="s">
        <v>23</v>
      </c>
      <c r="P29" s="7" t="s">
        <v>80</v>
      </c>
    </row>
    <row r="30" ht="42" customHeight="1" spans="1:16">
      <c r="A30" s="7" t="s">
        <v>232</v>
      </c>
      <c r="B30" s="7" t="s">
        <v>21</v>
      </c>
      <c r="C30" s="7" t="s">
        <v>233</v>
      </c>
      <c r="D30" s="7" t="s">
        <v>5</v>
      </c>
      <c r="E30" s="7" t="s">
        <v>108</v>
      </c>
      <c r="F30" s="7" t="s">
        <v>109</v>
      </c>
      <c r="G30" s="7" t="s">
        <v>234</v>
      </c>
      <c r="H30" s="7" t="s">
        <v>235</v>
      </c>
      <c r="I30" s="7" t="s">
        <v>58</v>
      </c>
      <c r="J30" s="7" t="s">
        <v>236</v>
      </c>
      <c r="K30" s="7" t="s">
        <v>234</v>
      </c>
      <c r="L30" s="7" t="s">
        <v>209</v>
      </c>
      <c r="M30" s="7" t="s">
        <v>109</v>
      </c>
      <c r="N30" s="7" t="s">
        <v>210</v>
      </c>
      <c r="O30" s="7" t="s">
        <v>23</v>
      </c>
      <c r="P30" s="7" t="s">
        <v>80</v>
      </c>
    </row>
    <row r="31" ht="42" customHeight="1" spans="1:16">
      <c r="A31" s="7" t="s">
        <v>237</v>
      </c>
      <c r="B31" s="7" t="s">
        <v>21</v>
      </c>
      <c r="C31" s="7" t="s">
        <v>238</v>
      </c>
      <c r="D31" s="7" t="s">
        <v>5</v>
      </c>
      <c r="E31" s="7" t="s">
        <v>115</v>
      </c>
      <c r="F31" s="7" t="s">
        <v>116</v>
      </c>
      <c r="G31" s="7" t="s">
        <v>239</v>
      </c>
      <c r="H31" s="7" t="s">
        <v>240</v>
      </c>
      <c r="I31" s="7" t="s">
        <v>58</v>
      </c>
      <c r="J31" s="7" t="s">
        <v>241</v>
      </c>
      <c r="K31" s="7" t="s">
        <v>239</v>
      </c>
      <c r="L31" s="7" t="s">
        <v>209</v>
      </c>
      <c r="M31" s="7" t="s">
        <v>116</v>
      </c>
      <c r="N31" s="7" t="s">
        <v>210</v>
      </c>
      <c r="O31" s="7" t="s">
        <v>23</v>
      </c>
      <c r="P31" s="7" t="s">
        <v>80</v>
      </c>
    </row>
    <row r="32" ht="42" customHeight="1" spans="1:16">
      <c r="A32" s="7" t="s">
        <v>242</v>
      </c>
      <c r="B32" s="7" t="s">
        <v>21</v>
      </c>
      <c r="C32" s="7" t="s">
        <v>243</v>
      </c>
      <c r="D32" s="7" t="s">
        <v>5</v>
      </c>
      <c r="E32" s="7" t="s">
        <v>83</v>
      </c>
      <c r="F32" s="7" t="s">
        <v>84</v>
      </c>
      <c r="G32" s="7" t="s">
        <v>244</v>
      </c>
      <c r="H32" s="7" t="s">
        <v>245</v>
      </c>
      <c r="I32" s="7" t="s">
        <v>58</v>
      </c>
      <c r="J32" s="7" t="s">
        <v>246</v>
      </c>
      <c r="K32" s="7" t="s">
        <v>244</v>
      </c>
      <c r="L32" s="7" t="s">
        <v>209</v>
      </c>
      <c r="M32" s="7" t="s">
        <v>84</v>
      </c>
      <c r="N32" s="7" t="s">
        <v>210</v>
      </c>
      <c r="O32" s="7" t="s">
        <v>23</v>
      </c>
      <c r="P32" s="7" t="s">
        <v>80</v>
      </c>
    </row>
    <row r="33" ht="42" customHeight="1" spans="1:16">
      <c r="A33" s="7" t="s">
        <v>247</v>
      </c>
      <c r="B33" s="7" t="s">
        <v>21</v>
      </c>
      <c r="C33" s="7" t="s">
        <v>248</v>
      </c>
      <c r="D33" s="7" t="s">
        <v>5</v>
      </c>
      <c r="E33" s="7" t="s">
        <v>249</v>
      </c>
      <c r="F33" s="7" t="s">
        <v>250</v>
      </c>
      <c r="G33" s="7" t="s">
        <v>251</v>
      </c>
      <c r="H33" s="7" t="s">
        <v>252</v>
      </c>
      <c r="I33" s="7" t="s">
        <v>58</v>
      </c>
      <c r="J33" s="7" t="s">
        <v>253</v>
      </c>
      <c r="K33" s="7" t="s">
        <v>251</v>
      </c>
      <c r="L33" s="7" t="s">
        <v>209</v>
      </c>
      <c r="M33" s="7" t="s">
        <v>250</v>
      </c>
      <c r="N33" s="7" t="s">
        <v>210</v>
      </c>
      <c r="O33" s="7" t="s">
        <v>23</v>
      </c>
      <c r="P33" s="7" t="s">
        <v>80</v>
      </c>
    </row>
    <row r="34" ht="42" customHeight="1" spans="1:16">
      <c r="A34" s="7" t="s">
        <v>254</v>
      </c>
      <c r="B34" s="7" t="s">
        <v>21</v>
      </c>
      <c r="C34" s="7" t="s">
        <v>255</v>
      </c>
      <c r="D34" s="7" t="s">
        <v>5</v>
      </c>
      <c r="E34" s="7" t="s">
        <v>148</v>
      </c>
      <c r="F34" s="7" t="s">
        <v>149</v>
      </c>
      <c r="G34" s="7" t="s">
        <v>256</v>
      </c>
      <c r="H34" s="7" t="s">
        <v>257</v>
      </c>
      <c r="I34" s="7" t="s">
        <v>58</v>
      </c>
      <c r="J34" s="7" t="s">
        <v>258</v>
      </c>
      <c r="K34" s="7" t="s">
        <v>256</v>
      </c>
      <c r="L34" s="7" t="s">
        <v>209</v>
      </c>
      <c r="M34" s="7" t="s">
        <v>149</v>
      </c>
      <c r="N34" s="7" t="s">
        <v>210</v>
      </c>
      <c r="O34" s="7" t="s">
        <v>23</v>
      </c>
      <c r="P34" s="7" t="s">
        <v>80</v>
      </c>
    </row>
    <row r="35" ht="42" customHeight="1" spans="1:16">
      <c r="A35" s="7" t="s">
        <v>259</v>
      </c>
      <c r="B35" s="7" t="s">
        <v>21</v>
      </c>
      <c r="C35" s="7" t="s">
        <v>260</v>
      </c>
      <c r="D35" s="7" t="s">
        <v>5</v>
      </c>
      <c r="E35" s="7" t="s">
        <v>148</v>
      </c>
      <c r="F35" s="7" t="s">
        <v>149</v>
      </c>
      <c r="G35" s="7" t="s">
        <v>261</v>
      </c>
      <c r="H35" s="7" t="s">
        <v>262</v>
      </c>
      <c r="I35" s="7" t="s">
        <v>58</v>
      </c>
      <c r="J35" s="7" t="s">
        <v>263</v>
      </c>
      <c r="K35" s="7" t="s">
        <v>261</v>
      </c>
      <c r="L35" s="7" t="s">
        <v>209</v>
      </c>
      <c r="M35" s="7" t="s">
        <v>149</v>
      </c>
      <c r="N35" s="7" t="s">
        <v>210</v>
      </c>
      <c r="O35" s="7" t="s">
        <v>23</v>
      </c>
      <c r="P35" s="7" t="s">
        <v>80</v>
      </c>
    </row>
    <row r="36" ht="42" customHeight="1" spans="1:16">
      <c r="A36" s="7" t="s">
        <v>264</v>
      </c>
      <c r="B36" s="7" t="s">
        <v>21</v>
      </c>
      <c r="C36" s="7" t="s">
        <v>265</v>
      </c>
      <c r="D36" s="7" t="s">
        <v>266</v>
      </c>
      <c r="E36" s="7" t="s">
        <v>148</v>
      </c>
      <c r="F36" s="7" t="s">
        <v>149</v>
      </c>
      <c r="G36" s="7" t="s">
        <v>267</v>
      </c>
      <c r="H36" s="7" t="s">
        <v>268</v>
      </c>
      <c r="I36" s="7" t="s">
        <v>58</v>
      </c>
      <c r="J36" s="7" t="s">
        <v>269</v>
      </c>
      <c r="K36" s="7" t="s">
        <v>267</v>
      </c>
      <c r="L36" s="7" t="s">
        <v>209</v>
      </c>
      <c r="M36" s="7" t="s">
        <v>149</v>
      </c>
      <c r="N36" s="7" t="s">
        <v>210</v>
      </c>
      <c r="O36" s="7" t="s">
        <v>23</v>
      </c>
      <c r="P36" s="7" t="s">
        <v>270</v>
      </c>
    </row>
    <row r="37" ht="42" customHeight="1" spans="1:16">
      <c r="A37" s="7" t="s">
        <v>271</v>
      </c>
      <c r="B37" s="7" t="s">
        <v>21</v>
      </c>
      <c r="C37" s="7" t="s">
        <v>272</v>
      </c>
      <c r="D37" s="7" t="s">
        <v>4</v>
      </c>
      <c r="E37" s="7" t="s">
        <v>177</v>
      </c>
      <c r="F37" s="7" t="s">
        <v>178</v>
      </c>
      <c r="G37" s="7" t="s">
        <v>273</v>
      </c>
      <c r="H37" s="7" t="s">
        <v>274</v>
      </c>
      <c r="I37" s="7" t="s">
        <v>58</v>
      </c>
      <c r="J37" s="7" t="s">
        <v>275</v>
      </c>
      <c r="K37" s="7" t="s">
        <v>273</v>
      </c>
      <c r="L37" s="7" t="s">
        <v>209</v>
      </c>
      <c r="M37" s="7" t="s">
        <v>178</v>
      </c>
      <c r="N37" s="7" t="s">
        <v>210</v>
      </c>
      <c r="O37" s="7" t="s">
        <v>23</v>
      </c>
      <c r="P37" s="7" t="s">
        <v>64</v>
      </c>
    </row>
    <row r="38" ht="42" customHeight="1" spans="1:16">
      <c r="A38" s="7" t="s">
        <v>276</v>
      </c>
      <c r="B38" s="7" t="s">
        <v>21</v>
      </c>
      <c r="C38" s="7" t="s">
        <v>277</v>
      </c>
      <c r="D38" s="7" t="s">
        <v>266</v>
      </c>
      <c r="E38" s="7" t="s">
        <v>155</v>
      </c>
      <c r="F38" s="7" t="s">
        <v>156</v>
      </c>
      <c r="G38" s="7" t="s">
        <v>278</v>
      </c>
      <c r="H38" s="7" t="s">
        <v>279</v>
      </c>
      <c r="I38" s="7" t="s">
        <v>58</v>
      </c>
      <c r="J38" s="7" t="s">
        <v>280</v>
      </c>
      <c r="K38" s="7" t="s">
        <v>278</v>
      </c>
      <c r="L38" s="7" t="s">
        <v>209</v>
      </c>
      <c r="M38" s="7" t="s">
        <v>156</v>
      </c>
      <c r="N38" s="7" t="s">
        <v>210</v>
      </c>
      <c r="O38" s="7" t="s">
        <v>23</v>
      </c>
      <c r="P38" s="7" t="s">
        <v>270</v>
      </c>
    </row>
    <row r="39" ht="42" customHeight="1" spans="1:16">
      <c r="A39" s="7" t="s">
        <v>281</v>
      </c>
      <c r="B39" s="7" t="s">
        <v>25</v>
      </c>
      <c r="C39" s="7" t="s">
        <v>282</v>
      </c>
      <c r="D39" s="7" t="s">
        <v>4</v>
      </c>
      <c r="E39" s="7" t="s">
        <v>204</v>
      </c>
      <c r="F39" s="7" t="s">
        <v>205</v>
      </c>
      <c r="G39" s="7" t="s">
        <v>283</v>
      </c>
      <c r="H39" s="7" t="s">
        <v>284</v>
      </c>
      <c r="I39" s="7" t="s">
        <v>285</v>
      </c>
      <c r="J39" s="7" t="s">
        <v>286</v>
      </c>
      <c r="K39" s="7" t="s">
        <v>283</v>
      </c>
      <c r="L39" s="7" t="s">
        <v>287</v>
      </c>
      <c r="M39" s="7" t="s">
        <v>205</v>
      </c>
      <c r="N39" s="7" t="s">
        <v>288</v>
      </c>
      <c r="O39" s="7" t="s">
        <v>72</v>
      </c>
      <c r="P39" s="7" t="s">
        <v>64</v>
      </c>
    </row>
    <row r="40" ht="42" customHeight="1" spans="1:16">
      <c r="A40" s="7" t="s">
        <v>289</v>
      </c>
      <c r="B40" s="7" t="s">
        <v>25</v>
      </c>
      <c r="C40" s="7" t="s">
        <v>290</v>
      </c>
      <c r="D40" s="7" t="s">
        <v>4</v>
      </c>
      <c r="E40" s="7" t="s">
        <v>291</v>
      </c>
      <c r="F40" s="7" t="s">
        <v>292</v>
      </c>
      <c r="G40" s="7" t="s">
        <v>293</v>
      </c>
      <c r="H40" s="7" t="s">
        <v>294</v>
      </c>
      <c r="I40" s="7" t="s">
        <v>285</v>
      </c>
      <c r="J40" s="7" t="s">
        <v>295</v>
      </c>
      <c r="K40" s="7" t="s">
        <v>293</v>
      </c>
      <c r="L40" s="7" t="s">
        <v>287</v>
      </c>
      <c r="M40" s="7" t="s">
        <v>292</v>
      </c>
      <c r="N40" s="7" t="s">
        <v>288</v>
      </c>
      <c r="O40" s="7" t="s">
        <v>72</v>
      </c>
      <c r="P40" s="7" t="s">
        <v>64</v>
      </c>
    </row>
    <row r="41" ht="42" customHeight="1" spans="1:16">
      <c r="A41" s="7" t="s">
        <v>296</v>
      </c>
      <c r="B41" s="7" t="s">
        <v>25</v>
      </c>
      <c r="C41" s="7" t="s">
        <v>297</v>
      </c>
      <c r="D41" s="7" t="s">
        <v>4</v>
      </c>
      <c r="E41" s="7" t="s">
        <v>298</v>
      </c>
      <c r="F41" s="7" t="s">
        <v>299</v>
      </c>
      <c r="G41" s="7" t="s">
        <v>300</v>
      </c>
      <c r="H41" s="7" t="s">
        <v>301</v>
      </c>
      <c r="I41" s="7" t="s">
        <v>285</v>
      </c>
      <c r="J41" s="7" t="s">
        <v>302</v>
      </c>
      <c r="K41" s="7" t="s">
        <v>300</v>
      </c>
      <c r="L41" s="7" t="s">
        <v>287</v>
      </c>
      <c r="M41" s="7" t="s">
        <v>299</v>
      </c>
      <c r="N41" s="7" t="s">
        <v>288</v>
      </c>
      <c r="O41" s="7" t="s">
        <v>72</v>
      </c>
      <c r="P41" s="7" t="s">
        <v>64</v>
      </c>
    </row>
    <row r="42" ht="42" customHeight="1" spans="1:16">
      <c r="A42" s="7" t="s">
        <v>303</v>
      </c>
      <c r="B42" s="7" t="s">
        <v>25</v>
      </c>
      <c r="C42" s="7" t="s">
        <v>304</v>
      </c>
      <c r="D42" s="7" t="s">
        <v>4</v>
      </c>
      <c r="E42" s="7" t="s">
        <v>305</v>
      </c>
      <c r="F42" s="7" t="s">
        <v>306</v>
      </c>
      <c r="G42" s="7" t="s">
        <v>307</v>
      </c>
      <c r="H42" s="7" t="s">
        <v>308</v>
      </c>
      <c r="I42" s="7" t="s">
        <v>285</v>
      </c>
      <c r="J42" s="7" t="s">
        <v>309</v>
      </c>
      <c r="K42" s="7" t="s">
        <v>307</v>
      </c>
      <c r="L42" s="7" t="s">
        <v>287</v>
      </c>
      <c r="M42" s="7" t="s">
        <v>306</v>
      </c>
      <c r="N42" s="7" t="s">
        <v>288</v>
      </c>
      <c r="O42" s="7" t="s">
        <v>72</v>
      </c>
      <c r="P42" s="7" t="s">
        <v>64</v>
      </c>
    </row>
    <row r="43" ht="42" customHeight="1" spans="1:16">
      <c r="A43" s="7" t="s">
        <v>310</v>
      </c>
      <c r="B43" s="7" t="s">
        <v>25</v>
      </c>
      <c r="C43" s="7" t="s">
        <v>311</v>
      </c>
      <c r="D43" s="7" t="s">
        <v>5</v>
      </c>
      <c r="E43" s="7" t="s">
        <v>227</v>
      </c>
      <c r="F43" s="7" t="s">
        <v>228</v>
      </c>
      <c r="G43" s="7" t="s">
        <v>312</v>
      </c>
      <c r="H43" s="7" t="s">
        <v>313</v>
      </c>
      <c r="I43" s="7" t="s">
        <v>285</v>
      </c>
      <c r="J43" s="7" t="s">
        <v>314</v>
      </c>
      <c r="K43" s="7" t="s">
        <v>312</v>
      </c>
      <c r="L43" s="7" t="s">
        <v>287</v>
      </c>
      <c r="M43" s="7" t="s">
        <v>228</v>
      </c>
      <c r="N43" s="7" t="s">
        <v>288</v>
      </c>
      <c r="O43" s="7" t="s">
        <v>72</v>
      </c>
      <c r="P43" s="7" t="s">
        <v>80</v>
      </c>
    </row>
    <row r="44" ht="42" customHeight="1" spans="1:16">
      <c r="A44" s="7" t="s">
        <v>315</v>
      </c>
      <c r="B44" s="7" t="s">
        <v>25</v>
      </c>
      <c r="C44" s="7" t="s">
        <v>316</v>
      </c>
      <c r="D44" s="7" t="s">
        <v>5</v>
      </c>
      <c r="E44" s="7" t="s">
        <v>108</v>
      </c>
      <c r="F44" s="7" t="s">
        <v>109</v>
      </c>
      <c r="G44" s="7" t="s">
        <v>317</v>
      </c>
      <c r="H44" s="7" t="s">
        <v>318</v>
      </c>
      <c r="I44" s="7" t="s">
        <v>285</v>
      </c>
      <c r="J44" s="7" t="s">
        <v>319</v>
      </c>
      <c r="K44" s="7" t="s">
        <v>317</v>
      </c>
      <c r="L44" s="7" t="s">
        <v>287</v>
      </c>
      <c r="M44" s="7" t="s">
        <v>109</v>
      </c>
      <c r="N44" s="7" t="s">
        <v>288</v>
      </c>
      <c r="O44" s="7" t="s">
        <v>72</v>
      </c>
      <c r="P44" s="7" t="s">
        <v>80</v>
      </c>
    </row>
    <row r="45" ht="42" customHeight="1" spans="1:16">
      <c r="A45" s="7" t="s">
        <v>320</v>
      </c>
      <c r="B45" s="7" t="s">
        <v>25</v>
      </c>
      <c r="C45" s="7" t="s">
        <v>321</v>
      </c>
      <c r="D45" s="7" t="s">
        <v>5</v>
      </c>
      <c r="E45" s="7" t="s">
        <v>115</v>
      </c>
      <c r="F45" s="7" t="s">
        <v>116</v>
      </c>
      <c r="G45" s="7" t="s">
        <v>322</v>
      </c>
      <c r="H45" s="7" t="s">
        <v>323</v>
      </c>
      <c r="I45" s="7" t="s">
        <v>285</v>
      </c>
      <c r="J45" s="7" t="s">
        <v>324</v>
      </c>
      <c r="K45" s="7" t="s">
        <v>322</v>
      </c>
      <c r="L45" s="7" t="s">
        <v>287</v>
      </c>
      <c r="M45" s="7" t="s">
        <v>116</v>
      </c>
      <c r="N45" s="7" t="s">
        <v>288</v>
      </c>
      <c r="O45" s="7" t="s">
        <v>72</v>
      </c>
      <c r="P45" s="7" t="s">
        <v>80</v>
      </c>
    </row>
    <row r="46" ht="42" customHeight="1" spans="1:16">
      <c r="A46" s="7" t="s">
        <v>325</v>
      </c>
      <c r="B46" s="7" t="s">
        <v>25</v>
      </c>
      <c r="C46" s="7" t="s">
        <v>326</v>
      </c>
      <c r="D46" s="7" t="s">
        <v>5</v>
      </c>
      <c r="E46" s="7" t="s">
        <v>249</v>
      </c>
      <c r="F46" s="7" t="s">
        <v>250</v>
      </c>
      <c r="G46" s="7" t="s">
        <v>327</v>
      </c>
      <c r="H46" s="7" t="s">
        <v>328</v>
      </c>
      <c r="I46" s="7" t="s">
        <v>285</v>
      </c>
      <c r="J46" s="7" t="s">
        <v>329</v>
      </c>
      <c r="K46" s="7" t="s">
        <v>327</v>
      </c>
      <c r="L46" s="7" t="s">
        <v>287</v>
      </c>
      <c r="M46" s="7" t="s">
        <v>250</v>
      </c>
      <c r="N46" s="7" t="s">
        <v>288</v>
      </c>
      <c r="O46" s="7" t="s">
        <v>72</v>
      </c>
      <c r="P46" s="7" t="s">
        <v>80</v>
      </c>
    </row>
    <row r="47" ht="42" customHeight="1" spans="1:16">
      <c r="A47" s="7" t="s">
        <v>330</v>
      </c>
      <c r="B47" s="7" t="s">
        <v>25</v>
      </c>
      <c r="C47" s="7" t="s">
        <v>331</v>
      </c>
      <c r="D47" s="7" t="s">
        <v>5</v>
      </c>
      <c r="E47" s="7" t="s">
        <v>148</v>
      </c>
      <c r="F47" s="7" t="s">
        <v>149</v>
      </c>
      <c r="G47" s="7" t="s">
        <v>332</v>
      </c>
      <c r="H47" s="7" t="s">
        <v>333</v>
      </c>
      <c r="I47" s="7" t="s">
        <v>285</v>
      </c>
      <c r="J47" s="7" t="s">
        <v>334</v>
      </c>
      <c r="K47" s="7" t="s">
        <v>332</v>
      </c>
      <c r="L47" s="7" t="s">
        <v>287</v>
      </c>
      <c r="M47" s="7" t="s">
        <v>149</v>
      </c>
      <c r="N47" s="7" t="s">
        <v>288</v>
      </c>
      <c r="O47" s="7" t="s">
        <v>72</v>
      </c>
      <c r="P47" s="7" t="s">
        <v>80</v>
      </c>
    </row>
    <row r="48" ht="42" customHeight="1" spans="1:16">
      <c r="A48" s="7" t="s">
        <v>335</v>
      </c>
      <c r="B48" s="7" t="s">
        <v>25</v>
      </c>
      <c r="C48" s="7" t="s">
        <v>336</v>
      </c>
      <c r="D48" s="7" t="s">
        <v>4</v>
      </c>
      <c r="E48" s="7" t="s">
        <v>177</v>
      </c>
      <c r="F48" s="7" t="s">
        <v>178</v>
      </c>
      <c r="G48" s="7" t="s">
        <v>337</v>
      </c>
      <c r="H48" s="7" t="s">
        <v>338</v>
      </c>
      <c r="I48" s="7" t="s">
        <v>285</v>
      </c>
      <c r="J48" s="7" t="s">
        <v>339</v>
      </c>
      <c r="K48" s="7" t="s">
        <v>337</v>
      </c>
      <c r="L48" s="7" t="s">
        <v>287</v>
      </c>
      <c r="M48" s="7" t="s">
        <v>178</v>
      </c>
      <c r="N48" s="7" t="s">
        <v>288</v>
      </c>
      <c r="O48" s="7" t="s">
        <v>72</v>
      </c>
      <c r="P48" s="7" t="s">
        <v>64</v>
      </c>
    </row>
    <row r="49" ht="42" customHeight="1" spans="1:16">
      <c r="A49" s="7" t="s">
        <v>340</v>
      </c>
      <c r="B49" s="7" t="s">
        <v>29</v>
      </c>
      <c r="C49" s="7" t="s">
        <v>341</v>
      </c>
      <c r="D49" s="7" t="s">
        <v>4</v>
      </c>
      <c r="E49" s="7" t="s">
        <v>342</v>
      </c>
      <c r="F49" s="7" t="s">
        <v>343</v>
      </c>
      <c r="G49" s="7" t="s">
        <v>344</v>
      </c>
      <c r="H49" s="7" t="s">
        <v>345</v>
      </c>
      <c r="I49" s="7" t="s">
        <v>58</v>
      </c>
      <c r="J49" s="7" t="s">
        <v>346</v>
      </c>
      <c r="K49" s="7" t="s">
        <v>60</v>
      </c>
      <c r="L49" s="7" t="s">
        <v>347</v>
      </c>
      <c r="M49" s="7" t="s">
        <v>343</v>
      </c>
      <c r="N49" s="7" t="s">
        <v>348</v>
      </c>
      <c r="O49" s="7" t="s">
        <v>63</v>
      </c>
      <c r="P49" s="7" t="s">
        <v>64</v>
      </c>
    </row>
    <row r="50" ht="42" customHeight="1" spans="1:16">
      <c r="A50" s="7" t="s">
        <v>349</v>
      </c>
      <c r="B50" s="7" t="s">
        <v>29</v>
      </c>
      <c r="C50" s="7" t="s">
        <v>350</v>
      </c>
      <c r="D50" s="7" t="s">
        <v>5</v>
      </c>
      <c r="E50" s="7" t="s">
        <v>351</v>
      </c>
      <c r="F50" s="7" t="s">
        <v>352</v>
      </c>
      <c r="G50" s="7" t="s">
        <v>353</v>
      </c>
      <c r="H50" s="7" t="s">
        <v>354</v>
      </c>
      <c r="I50" s="7" t="s">
        <v>58</v>
      </c>
      <c r="J50" s="7" t="s">
        <v>355</v>
      </c>
      <c r="K50" s="7" t="s">
        <v>60</v>
      </c>
      <c r="L50" s="7" t="s">
        <v>347</v>
      </c>
      <c r="M50" s="7" t="s">
        <v>352</v>
      </c>
      <c r="N50" s="7" t="s">
        <v>348</v>
      </c>
      <c r="O50" s="7" t="s">
        <v>72</v>
      </c>
      <c r="P50" s="7" t="s">
        <v>80</v>
      </c>
    </row>
    <row r="51" ht="42" customHeight="1" spans="1:16">
      <c r="A51" s="7" t="s">
        <v>356</v>
      </c>
      <c r="B51" s="7" t="s">
        <v>29</v>
      </c>
      <c r="C51" s="7" t="s">
        <v>357</v>
      </c>
      <c r="D51" s="7" t="s">
        <v>4</v>
      </c>
      <c r="E51" s="7" t="s">
        <v>358</v>
      </c>
      <c r="F51" s="7" t="s">
        <v>359</v>
      </c>
      <c r="G51" s="7" t="s">
        <v>360</v>
      </c>
      <c r="H51" s="7" t="s">
        <v>361</v>
      </c>
      <c r="I51" s="7" t="s">
        <v>58</v>
      </c>
      <c r="J51" s="7" t="s">
        <v>362</v>
      </c>
      <c r="K51" s="7" t="s">
        <v>60</v>
      </c>
      <c r="L51" s="7" t="s">
        <v>347</v>
      </c>
      <c r="M51" s="7" t="s">
        <v>359</v>
      </c>
      <c r="N51" s="7" t="s">
        <v>348</v>
      </c>
      <c r="O51" s="7" t="s">
        <v>63</v>
      </c>
      <c r="P51" s="7" t="s">
        <v>64</v>
      </c>
    </row>
    <row r="52" ht="42" customHeight="1" spans="1:16">
      <c r="A52" s="7" t="s">
        <v>363</v>
      </c>
      <c r="B52" s="7" t="s">
        <v>29</v>
      </c>
      <c r="C52" s="7" t="s">
        <v>364</v>
      </c>
      <c r="D52" s="7" t="s">
        <v>5</v>
      </c>
      <c r="E52" s="7" t="s">
        <v>365</v>
      </c>
      <c r="F52" s="7" t="s">
        <v>366</v>
      </c>
      <c r="G52" s="7" t="s">
        <v>367</v>
      </c>
      <c r="H52" s="7" t="s">
        <v>368</v>
      </c>
      <c r="I52" s="7" t="s">
        <v>58</v>
      </c>
      <c r="J52" s="7" t="s">
        <v>369</v>
      </c>
      <c r="K52" s="7" t="s">
        <v>60</v>
      </c>
      <c r="L52" s="7" t="s">
        <v>347</v>
      </c>
      <c r="M52" s="7" t="s">
        <v>366</v>
      </c>
      <c r="N52" s="7" t="s">
        <v>348</v>
      </c>
      <c r="O52" s="7" t="s">
        <v>72</v>
      </c>
      <c r="P52" s="7" t="s">
        <v>80</v>
      </c>
    </row>
    <row r="53" ht="42" customHeight="1" spans="1:16">
      <c r="A53" s="7" t="s">
        <v>370</v>
      </c>
      <c r="B53" s="7" t="s">
        <v>29</v>
      </c>
      <c r="C53" s="7" t="s">
        <v>371</v>
      </c>
      <c r="D53" s="7" t="s">
        <v>5</v>
      </c>
      <c r="E53" s="7" t="s">
        <v>372</v>
      </c>
      <c r="F53" s="7" t="s">
        <v>373</v>
      </c>
      <c r="G53" s="7" t="s">
        <v>374</v>
      </c>
      <c r="H53" s="7" t="s">
        <v>375</v>
      </c>
      <c r="I53" s="7" t="s">
        <v>58</v>
      </c>
      <c r="J53" s="7" t="s">
        <v>376</v>
      </c>
      <c r="K53" s="7" t="s">
        <v>60</v>
      </c>
      <c r="L53" s="7" t="s">
        <v>347</v>
      </c>
      <c r="M53" s="7" t="s">
        <v>373</v>
      </c>
      <c r="N53" s="7" t="s">
        <v>348</v>
      </c>
      <c r="O53" s="7" t="s">
        <v>72</v>
      </c>
      <c r="P53" s="7" t="s">
        <v>80</v>
      </c>
    </row>
    <row r="54" ht="42" customHeight="1" spans="1:16">
      <c r="A54" s="7" t="s">
        <v>377</v>
      </c>
      <c r="B54" s="7" t="s">
        <v>29</v>
      </c>
      <c r="C54" s="7" t="s">
        <v>378</v>
      </c>
      <c r="D54" s="7" t="s">
        <v>5</v>
      </c>
      <c r="E54" s="7" t="s">
        <v>141</v>
      </c>
      <c r="F54" s="7" t="s">
        <v>142</v>
      </c>
      <c r="G54" s="7" t="s">
        <v>379</v>
      </c>
      <c r="H54" s="7" t="s">
        <v>380</v>
      </c>
      <c r="I54" s="7" t="s">
        <v>58</v>
      </c>
      <c r="J54" s="7" t="s">
        <v>381</v>
      </c>
      <c r="K54" s="7" t="s">
        <v>60</v>
      </c>
      <c r="L54" s="7" t="s">
        <v>347</v>
      </c>
      <c r="M54" s="7" t="s">
        <v>142</v>
      </c>
      <c r="N54" s="7" t="s">
        <v>348</v>
      </c>
      <c r="O54" s="7" t="s">
        <v>72</v>
      </c>
      <c r="P54" s="7" t="s">
        <v>80</v>
      </c>
    </row>
    <row r="55" ht="42" customHeight="1" spans="1:16">
      <c r="A55" s="7" t="s">
        <v>382</v>
      </c>
      <c r="B55" s="7" t="s">
        <v>29</v>
      </c>
      <c r="C55" s="7" t="s">
        <v>383</v>
      </c>
      <c r="D55" s="7" t="s">
        <v>5</v>
      </c>
      <c r="E55" s="7" t="s">
        <v>141</v>
      </c>
      <c r="F55" s="7" t="s">
        <v>142</v>
      </c>
      <c r="G55" s="7" t="s">
        <v>384</v>
      </c>
      <c r="H55" s="7" t="s">
        <v>385</v>
      </c>
      <c r="I55" s="7" t="s">
        <v>58</v>
      </c>
      <c r="J55" s="7" t="s">
        <v>386</v>
      </c>
      <c r="K55" s="7" t="s">
        <v>60</v>
      </c>
      <c r="L55" s="7" t="s">
        <v>347</v>
      </c>
      <c r="M55" s="7" t="s">
        <v>142</v>
      </c>
      <c r="N55" s="7" t="s">
        <v>348</v>
      </c>
      <c r="O55" s="7" t="s">
        <v>72</v>
      </c>
      <c r="P55" s="7" t="s">
        <v>80</v>
      </c>
    </row>
    <row r="56" ht="42" customHeight="1" spans="1:16">
      <c r="A56" s="7" t="s">
        <v>387</v>
      </c>
      <c r="B56" s="7" t="s">
        <v>29</v>
      </c>
      <c r="C56" s="7" t="s">
        <v>388</v>
      </c>
      <c r="D56" s="7" t="s">
        <v>5</v>
      </c>
      <c r="E56" s="7" t="s">
        <v>141</v>
      </c>
      <c r="F56" s="7" t="s">
        <v>142</v>
      </c>
      <c r="G56" s="7" t="s">
        <v>389</v>
      </c>
      <c r="H56" s="7" t="s">
        <v>390</v>
      </c>
      <c r="I56" s="7" t="s">
        <v>58</v>
      </c>
      <c r="J56" s="7" t="s">
        <v>391</v>
      </c>
      <c r="K56" s="7" t="s">
        <v>60</v>
      </c>
      <c r="L56" s="7" t="s">
        <v>347</v>
      </c>
      <c r="M56" s="7" t="s">
        <v>142</v>
      </c>
      <c r="N56" s="7" t="s">
        <v>348</v>
      </c>
      <c r="O56" s="7" t="s">
        <v>72</v>
      </c>
      <c r="P56" s="7" t="s">
        <v>80</v>
      </c>
    </row>
    <row r="57" ht="42" customHeight="1" spans="1:16">
      <c r="A57" s="7" t="s">
        <v>392</v>
      </c>
      <c r="B57" s="7" t="s">
        <v>29</v>
      </c>
      <c r="C57" s="7" t="s">
        <v>393</v>
      </c>
      <c r="D57" s="7" t="s">
        <v>5</v>
      </c>
      <c r="E57" s="7" t="s">
        <v>155</v>
      </c>
      <c r="F57" s="7" t="s">
        <v>156</v>
      </c>
      <c r="G57" s="7" t="s">
        <v>394</v>
      </c>
      <c r="H57" s="7" t="s">
        <v>395</v>
      </c>
      <c r="I57" s="7" t="s">
        <v>58</v>
      </c>
      <c r="J57" s="7" t="s">
        <v>396</v>
      </c>
      <c r="K57" s="7" t="s">
        <v>60</v>
      </c>
      <c r="L57" s="7" t="s">
        <v>347</v>
      </c>
      <c r="M57" s="7" t="s">
        <v>156</v>
      </c>
      <c r="N57" s="7" t="s">
        <v>348</v>
      </c>
      <c r="O57" s="7" t="s">
        <v>72</v>
      </c>
      <c r="P57" s="7" t="s">
        <v>80</v>
      </c>
    </row>
    <row r="58" ht="42" customHeight="1" spans="1:16">
      <c r="A58" s="7" t="s">
        <v>397</v>
      </c>
      <c r="B58" s="7" t="s">
        <v>29</v>
      </c>
      <c r="C58" s="7" t="s">
        <v>398</v>
      </c>
      <c r="D58" s="7" t="s">
        <v>266</v>
      </c>
      <c r="E58" s="7" t="s">
        <v>155</v>
      </c>
      <c r="F58" s="7" t="s">
        <v>156</v>
      </c>
      <c r="G58" s="7" t="s">
        <v>399</v>
      </c>
      <c r="H58" s="7" t="s">
        <v>400</v>
      </c>
      <c r="I58" s="7" t="s">
        <v>58</v>
      </c>
      <c r="J58" s="7" t="s">
        <v>401</v>
      </c>
      <c r="K58" s="7" t="s">
        <v>60</v>
      </c>
      <c r="L58" s="7" t="s">
        <v>347</v>
      </c>
      <c r="M58" s="7" t="s">
        <v>156</v>
      </c>
      <c r="N58" s="7" t="s">
        <v>348</v>
      </c>
      <c r="O58" s="7" t="s">
        <v>72</v>
      </c>
      <c r="P58" s="7" t="s">
        <v>270</v>
      </c>
    </row>
    <row r="59" ht="42" customHeight="1" spans="1:16">
      <c r="A59" s="7" t="s">
        <v>402</v>
      </c>
      <c r="B59" s="7" t="s">
        <v>30</v>
      </c>
      <c r="C59" s="7" t="s">
        <v>403</v>
      </c>
      <c r="D59" s="7" t="s">
        <v>4</v>
      </c>
      <c r="E59" s="7" t="s">
        <v>404</v>
      </c>
      <c r="F59" s="7" t="s">
        <v>405</v>
      </c>
      <c r="G59" s="7" t="s">
        <v>406</v>
      </c>
      <c r="H59" s="7" t="s">
        <v>407</v>
      </c>
      <c r="I59" s="7" t="s">
        <v>58</v>
      </c>
      <c r="J59" s="7" t="s">
        <v>408</v>
      </c>
      <c r="K59" s="7" t="s">
        <v>406</v>
      </c>
      <c r="L59" s="7" t="s">
        <v>409</v>
      </c>
      <c r="M59" s="7" t="s">
        <v>405</v>
      </c>
      <c r="N59" s="7" t="s">
        <v>410</v>
      </c>
      <c r="O59" s="7" t="s">
        <v>72</v>
      </c>
      <c r="P59" s="7" t="s">
        <v>64</v>
      </c>
    </row>
    <row r="60" ht="42" customHeight="1" spans="1:16">
      <c r="A60" s="7" t="s">
        <v>411</v>
      </c>
      <c r="B60" s="7" t="s">
        <v>30</v>
      </c>
      <c r="C60" s="7" t="s">
        <v>412</v>
      </c>
      <c r="D60" s="7" t="s">
        <v>4</v>
      </c>
      <c r="E60" s="7" t="s">
        <v>413</v>
      </c>
      <c r="F60" s="7" t="s">
        <v>414</v>
      </c>
      <c r="G60" s="7" t="s">
        <v>415</v>
      </c>
      <c r="H60" s="7" t="s">
        <v>416</v>
      </c>
      <c r="I60" s="7" t="s">
        <v>58</v>
      </c>
      <c r="J60" s="7" t="s">
        <v>417</v>
      </c>
      <c r="K60" s="7" t="s">
        <v>415</v>
      </c>
      <c r="L60" s="7" t="s">
        <v>409</v>
      </c>
      <c r="M60" s="7" t="s">
        <v>414</v>
      </c>
      <c r="N60" s="7" t="s">
        <v>410</v>
      </c>
      <c r="O60" s="7" t="s">
        <v>72</v>
      </c>
      <c r="P60" s="7" t="s">
        <v>64</v>
      </c>
    </row>
    <row r="61" ht="42" customHeight="1" spans="1:16">
      <c r="A61" s="7" t="s">
        <v>418</v>
      </c>
      <c r="B61" s="7" t="s">
        <v>30</v>
      </c>
      <c r="C61" s="7" t="s">
        <v>419</v>
      </c>
      <c r="D61" s="7" t="s">
        <v>4</v>
      </c>
      <c r="E61" s="7" t="s">
        <v>420</v>
      </c>
      <c r="F61" s="7" t="s">
        <v>421</v>
      </c>
      <c r="G61" s="7" t="s">
        <v>422</v>
      </c>
      <c r="H61" s="7" t="s">
        <v>423</v>
      </c>
      <c r="I61" s="7" t="s">
        <v>58</v>
      </c>
      <c r="J61" s="7" t="s">
        <v>424</v>
      </c>
      <c r="K61" s="7" t="s">
        <v>422</v>
      </c>
      <c r="L61" s="7" t="s">
        <v>409</v>
      </c>
      <c r="M61" s="7" t="s">
        <v>421</v>
      </c>
      <c r="N61" s="7" t="s">
        <v>410</v>
      </c>
      <c r="O61" s="7" t="s">
        <v>72</v>
      </c>
      <c r="P61" s="7" t="s">
        <v>64</v>
      </c>
    </row>
    <row r="62" ht="42" customHeight="1" spans="1:16">
      <c r="A62" s="7" t="s">
        <v>425</v>
      </c>
      <c r="B62" s="7" t="s">
        <v>30</v>
      </c>
      <c r="C62" s="7" t="s">
        <v>426</v>
      </c>
      <c r="D62" s="7" t="s">
        <v>4</v>
      </c>
      <c r="E62" s="7" t="s">
        <v>427</v>
      </c>
      <c r="F62" s="7" t="s">
        <v>428</v>
      </c>
      <c r="G62" s="7" t="s">
        <v>429</v>
      </c>
      <c r="H62" s="7" t="s">
        <v>430</v>
      </c>
      <c r="I62" s="7" t="s">
        <v>58</v>
      </c>
      <c r="J62" s="7" t="s">
        <v>431</v>
      </c>
      <c r="K62" s="7" t="s">
        <v>429</v>
      </c>
      <c r="L62" s="7" t="s">
        <v>409</v>
      </c>
      <c r="M62" s="7" t="s">
        <v>428</v>
      </c>
      <c r="N62" s="7" t="s">
        <v>410</v>
      </c>
      <c r="O62" s="7" t="s">
        <v>72</v>
      </c>
      <c r="P62" s="7" t="s">
        <v>64</v>
      </c>
    </row>
    <row r="63" ht="42" customHeight="1" spans="1:16">
      <c r="A63" s="7" t="s">
        <v>432</v>
      </c>
      <c r="B63" s="7" t="s">
        <v>30</v>
      </c>
      <c r="C63" s="7" t="s">
        <v>433</v>
      </c>
      <c r="D63" s="7" t="s">
        <v>5</v>
      </c>
      <c r="E63" s="7" t="s">
        <v>434</v>
      </c>
      <c r="F63" s="7" t="s">
        <v>435</v>
      </c>
      <c r="G63" s="7" t="s">
        <v>436</v>
      </c>
      <c r="H63" s="7" t="s">
        <v>437</v>
      </c>
      <c r="I63" s="7" t="s">
        <v>58</v>
      </c>
      <c r="J63" s="7" t="s">
        <v>438</v>
      </c>
      <c r="K63" s="7" t="s">
        <v>436</v>
      </c>
      <c r="L63" s="7" t="s">
        <v>409</v>
      </c>
      <c r="M63" s="7" t="s">
        <v>435</v>
      </c>
      <c r="N63" s="7" t="s">
        <v>410</v>
      </c>
      <c r="O63" s="7" t="s">
        <v>72</v>
      </c>
      <c r="P63" s="7" t="s">
        <v>80</v>
      </c>
    </row>
    <row r="64" ht="42" customHeight="1" spans="1:16">
      <c r="A64" s="7" t="s">
        <v>439</v>
      </c>
      <c r="B64" s="7" t="s">
        <v>30</v>
      </c>
      <c r="C64" s="7" t="s">
        <v>440</v>
      </c>
      <c r="D64" s="7" t="s">
        <v>5</v>
      </c>
      <c r="E64" s="7" t="s">
        <v>127</v>
      </c>
      <c r="F64" s="7" t="s">
        <v>128</v>
      </c>
      <c r="G64" s="7" t="s">
        <v>441</v>
      </c>
      <c r="H64" s="7" t="s">
        <v>442</v>
      </c>
      <c r="I64" s="7" t="s">
        <v>58</v>
      </c>
      <c r="J64" s="7" t="s">
        <v>443</v>
      </c>
      <c r="K64" s="7" t="s">
        <v>441</v>
      </c>
      <c r="L64" s="7" t="s">
        <v>409</v>
      </c>
      <c r="M64" s="7" t="s">
        <v>128</v>
      </c>
      <c r="N64" s="7" t="s">
        <v>410</v>
      </c>
      <c r="O64" s="7" t="s">
        <v>72</v>
      </c>
      <c r="P64" s="7" t="s">
        <v>80</v>
      </c>
    </row>
    <row r="65" ht="42" customHeight="1" spans="1:16">
      <c r="A65" s="7" t="s">
        <v>444</v>
      </c>
      <c r="B65" s="7" t="s">
        <v>30</v>
      </c>
      <c r="C65" s="7" t="s">
        <v>445</v>
      </c>
      <c r="D65" s="7" t="s">
        <v>5</v>
      </c>
      <c r="E65" s="7" t="s">
        <v>148</v>
      </c>
      <c r="F65" s="7" t="s">
        <v>149</v>
      </c>
      <c r="G65" s="7" t="s">
        <v>446</v>
      </c>
      <c r="H65" s="7" t="s">
        <v>447</v>
      </c>
      <c r="I65" s="7" t="s">
        <v>58</v>
      </c>
      <c r="J65" s="7" t="s">
        <v>448</v>
      </c>
      <c r="K65" s="7" t="s">
        <v>446</v>
      </c>
      <c r="L65" s="7" t="s">
        <v>409</v>
      </c>
      <c r="M65" s="7" t="s">
        <v>149</v>
      </c>
      <c r="N65" s="7" t="s">
        <v>410</v>
      </c>
      <c r="O65" s="7" t="s">
        <v>72</v>
      </c>
      <c r="P65" s="7" t="s">
        <v>80</v>
      </c>
    </row>
    <row r="66" ht="42" customHeight="1" spans="1:16">
      <c r="A66" s="7" t="s">
        <v>449</v>
      </c>
      <c r="B66" s="7" t="s">
        <v>30</v>
      </c>
      <c r="C66" s="7" t="s">
        <v>450</v>
      </c>
      <c r="D66" s="7" t="s">
        <v>5</v>
      </c>
      <c r="E66" s="7" t="s">
        <v>155</v>
      </c>
      <c r="F66" s="7" t="s">
        <v>156</v>
      </c>
      <c r="G66" s="7" t="s">
        <v>451</v>
      </c>
      <c r="H66" s="7" t="s">
        <v>452</v>
      </c>
      <c r="I66" s="7" t="s">
        <v>58</v>
      </c>
      <c r="J66" s="7" t="s">
        <v>453</v>
      </c>
      <c r="K66" s="7" t="s">
        <v>451</v>
      </c>
      <c r="L66" s="7" t="s">
        <v>409</v>
      </c>
      <c r="M66" s="7" t="s">
        <v>156</v>
      </c>
      <c r="N66" s="7" t="s">
        <v>410</v>
      </c>
      <c r="O66" s="7" t="s">
        <v>72</v>
      </c>
      <c r="P66" s="7" t="s">
        <v>80</v>
      </c>
    </row>
    <row r="67" ht="42" customHeight="1" spans="1:16">
      <c r="A67" s="7" t="s">
        <v>454</v>
      </c>
      <c r="B67" s="7" t="s">
        <v>30</v>
      </c>
      <c r="C67" s="7" t="s">
        <v>455</v>
      </c>
      <c r="D67" s="7" t="s">
        <v>4</v>
      </c>
      <c r="E67" s="7" t="s">
        <v>456</v>
      </c>
      <c r="F67" s="7" t="s">
        <v>457</v>
      </c>
      <c r="G67" s="7" t="s">
        <v>458</v>
      </c>
      <c r="H67" s="7" t="s">
        <v>459</v>
      </c>
      <c r="I67" s="7" t="s">
        <v>58</v>
      </c>
      <c r="J67" s="7" t="s">
        <v>460</v>
      </c>
      <c r="K67" s="7" t="s">
        <v>458</v>
      </c>
      <c r="L67" s="7" t="s">
        <v>409</v>
      </c>
      <c r="M67" s="7" t="s">
        <v>457</v>
      </c>
      <c r="N67" s="7" t="s">
        <v>410</v>
      </c>
      <c r="O67" s="7" t="s">
        <v>72</v>
      </c>
      <c r="P67" s="7" t="s">
        <v>64</v>
      </c>
    </row>
    <row r="68" ht="42" customHeight="1" spans="1:16">
      <c r="A68" s="7" t="s">
        <v>461</v>
      </c>
      <c r="B68" s="7" t="s">
        <v>30</v>
      </c>
      <c r="C68" s="7" t="s">
        <v>462</v>
      </c>
      <c r="D68" s="7" t="s">
        <v>266</v>
      </c>
      <c r="E68" s="7" t="s">
        <v>351</v>
      </c>
      <c r="F68" s="7" t="s">
        <v>352</v>
      </c>
      <c r="G68" s="7" t="s">
        <v>463</v>
      </c>
      <c r="H68" s="7" t="s">
        <v>464</v>
      </c>
      <c r="I68" s="7" t="s">
        <v>58</v>
      </c>
      <c r="J68" s="7" t="s">
        <v>465</v>
      </c>
      <c r="K68" s="7" t="s">
        <v>463</v>
      </c>
      <c r="L68" s="7" t="s">
        <v>409</v>
      </c>
      <c r="M68" s="7" t="s">
        <v>352</v>
      </c>
      <c r="N68" s="7" t="s">
        <v>410</v>
      </c>
      <c r="O68" s="7" t="s">
        <v>72</v>
      </c>
      <c r="P68" s="7" t="s">
        <v>270</v>
      </c>
    </row>
    <row r="69" ht="42" customHeight="1" spans="1:16">
      <c r="A69" s="7" t="s">
        <v>466</v>
      </c>
      <c r="B69" s="7" t="s">
        <v>31</v>
      </c>
      <c r="C69" s="7" t="s">
        <v>467</v>
      </c>
      <c r="D69" s="7" t="s">
        <v>4</v>
      </c>
      <c r="E69" s="7" t="s">
        <v>468</v>
      </c>
      <c r="F69" s="7" t="s">
        <v>469</v>
      </c>
      <c r="G69" s="7" t="s">
        <v>470</v>
      </c>
      <c r="H69" s="7" t="s">
        <v>471</v>
      </c>
      <c r="I69" s="7" t="s">
        <v>58</v>
      </c>
      <c r="J69" s="7" t="s">
        <v>472</v>
      </c>
      <c r="K69" s="7" t="s">
        <v>60</v>
      </c>
      <c r="L69" s="7" t="s">
        <v>473</v>
      </c>
      <c r="M69" s="7" t="s">
        <v>469</v>
      </c>
      <c r="N69" s="7" t="s">
        <v>474</v>
      </c>
      <c r="O69" s="7" t="s">
        <v>72</v>
      </c>
      <c r="P69" s="7" t="s">
        <v>64</v>
      </c>
    </row>
    <row r="70" ht="42" customHeight="1" spans="1:16">
      <c r="A70" s="7" t="s">
        <v>475</v>
      </c>
      <c r="B70" s="7" t="s">
        <v>31</v>
      </c>
      <c r="C70" s="7" t="s">
        <v>476</v>
      </c>
      <c r="D70" s="7" t="s">
        <v>5</v>
      </c>
      <c r="E70" s="7" t="s">
        <v>477</v>
      </c>
      <c r="F70" s="7" t="s">
        <v>478</v>
      </c>
      <c r="G70" s="7" t="s">
        <v>479</v>
      </c>
      <c r="H70" s="7" t="s">
        <v>480</v>
      </c>
      <c r="I70" s="7" t="s">
        <v>58</v>
      </c>
      <c r="J70" s="7" t="s">
        <v>481</v>
      </c>
      <c r="K70" s="7" t="s">
        <v>60</v>
      </c>
      <c r="L70" s="7" t="s">
        <v>473</v>
      </c>
      <c r="M70" s="7" t="s">
        <v>478</v>
      </c>
      <c r="N70" s="7" t="s">
        <v>474</v>
      </c>
      <c r="O70" s="7" t="s">
        <v>72</v>
      </c>
      <c r="P70" s="7" t="s">
        <v>80</v>
      </c>
    </row>
    <row r="71" ht="42" customHeight="1" spans="1:16">
      <c r="A71" s="7" t="s">
        <v>482</v>
      </c>
      <c r="B71" s="7" t="s">
        <v>31</v>
      </c>
      <c r="C71" s="7" t="s">
        <v>483</v>
      </c>
      <c r="D71" s="7" t="s">
        <v>266</v>
      </c>
      <c r="E71" s="7" t="s">
        <v>108</v>
      </c>
      <c r="F71" s="7" t="s">
        <v>109</v>
      </c>
      <c r="G71" s="7" t="s">
        <v>484</v>
      </c>
      <c r="H71" s="7" t="s">
        <v>485</v>
      </c>
      <c r="I71" s="7" t="s">
        <v>58</v>
      </c>
      <c r="J71" s="7" t="s">
        <v>486</v>
      </c>
      <c r="K71" s="7" t="s">
        <v>60</v>
      </c>
      <c r="L71" s="7" t="s">
        <v>473</v>
      </c>
      <c r="M71" s="7" t="s">
        <v>109</v>
      </c>
      <c r="N71" s="7" t="s">
        <v>474</v>
      </c>
      <c r="O71" s="7" t="s">
        <v>72</v>
      </c>
      <c r="P71" s="7" t="s">
        <v>270</v>
      </c>
    </row>
    <row r="72" ht="42" customHeight="1" spans="1:16">
      <c r="A72" s="7" t="s">
        <v>487</v>
      </c>
      <c r="B72" s="7" t="s">
        <v>31</v>
      </c>
      <c r="C72" s="7" t="s">
        <v>488</v>
      </c>
      <c r="D72" s="7" t="s">
        <v>5</v>
      </c>
      <c r="E72" s="7" t="s">
        <v>134</v>
      </c>
      <c r="F72" s="7" t="s">
        <v>135</v>
      </c>
      <c r="G72" s="7" t="s">
        <v>489</v>
      </c>
      <c r="H72" s="7" t="s">
        <v>490</v>
      </c>
      <c r="I72" s="7" t="s">
        <v>58</v>
      </c>
      <c r="J72" s="7" t="s">
        <v>491</v>
      </c>
      <c r="K72" s="7" t="s">
        <v>60</v>
      </c>
      <c r="L72" s="7" t="s">
        <v>473</v>
      </c>
      <c r="M72" s="7" t="s">
        <v>135</v>
      </c>
      <c r="N72" s="7" t="s">
        <v>474</v>
      </c>
      <c r="O72" s="7" t="s">
        <v>72</v>
      </c>
      <c r="P72" s="7" t="s">
        <v>80</v>
      </c>
    </row>
    <row r="73" ht="42" customHeight="1" spans="1:16">
      <c r="A73" s="7" t="s">
        <v>492</v>
      </c>
      <c r="B73" s="7" t="s">
        <v>31</v>
      </c>
      <c r="C73" s="7" t="s">
        <v>493</v>
      </c>
      <c r="D73" s="7" t="s">
        <v>5</v>
      </c>
      <c r="E73" s="7" t="s">
        <v>177</v>
      </c>
      <c r="F73" s="7" t="s">
        <v>178</v>
      </c>
      <c r="G73" s="7" t="s">
        <v>494</v>
      </c>
      <c r="H73" s="7" t="s">
        <v>495</v>
      </c>
      <c r="I73" s="7" t="s">
        <v>58</v>
      </c>
      <c r="J73" s="7" t="s">
        <v>496</v>
      </c>
      <c r="K73" s="7" t="s">
        <v>60</v>
      </c>
      <c r="L73" s="7" t="s">
        <v>473</v>
      </c>
      <c r="M73" s="7" t="s">
        <v>178</v>
      </c>
      <c r="N73" s="7" t="s">
        <v>474</v>
      </c>
      <c r="O73" s="7" t="s">
        <v>72</v>
      </c>
      <c r="P73" s="7" t="s">
        <v>80</v>
      </c>
    </row>
    <row r="74" ht="42" customHeight="1" spans="1:16">
      <c r="A74" s="7" t="s">
        <v>497</v>
      </c>
      <c r="B74" s="7" t="s">
        <v>31</v>
      </c>
      <c r="C74" s="7" t="s">
        <v>498</v>
      </c>
      <c r="D74" s="7" t="s">
        <v>266</v>
      </c>
      <c r="E74" s="7" t="s">
        <v>155</v>
      </c>
      <c r="F74" s="7" t="s">
        <v>156</v>
      </c>
      <c r="G74" s="7" t="s">
        <v>499</v>
      </c>
      <c r="H74" s="7" t="s">
        <v>500</v>
      </c>
      <c r="I74" s="7" t="s">
        <v>58</v>
      </c>
      <c r="J74" s="7" t="s">
        <v>501</v>
      </c>
      <c r="K74" s="7" t="s">
        <v>60</v>
      </c>
      <c r="L74" s="7" t="s">
        <v>473</v>
      </c>
      <c r="M74" s="7" t="s">
        <v>156</v>
      </c>
      <c r="N74" s="7" t="s">
        <v>474</v>
      </c>
      <c r="O74" s="7" t="s">
        <v>72</v>
      </c>
      <c r="P74" s="7" t="s">
        <v>270</v>
      </c>
    </row>
    <row r="75" ht="42" customHeight="1" spans="1:16">
      <c r="A75" s="7" t="s">
        <v>502</v>
      </c>
      <c r="B75" s="7" t="s">
        <v>32</v>
      </c>
      <c r="C75" s="7" t="s">
        <v>503</v>
      </c>
      <c r="D75" s="7" t="s">
        <v>4</v>
      </c>
      <c r="E75" s="7" t="s">
        <v>504</v>
      </c>
      <c r="F75" s="7" t="s">
        <v>505</v>
      </c>
      <c r="G75" s="7" t="s">
        <v>506</v>
      </c>
      <c r="H75" s="7" t="s">
        <v>507</v>
      </c>
      <c r="I75" s="7" t="s">
        <v>58</v>
      </c>
      <c r="J75" s="7" t="s">
        <v>508</v>
      </c>
      <c r="K75" s="7" t="s">
        <v>60</v>
      </c>
      <c r="L75" s="7" t="s">
        <v>509</v>
      </c>
      <c r="M75" s="7" t="s">
        <v>505</v>
      </c>
      <c r="N75" s="7" t="s">
        <v>510</v>
      </c>
      <c r="O75" s="7" t="s">
        <v>72</v>
      </c>
      <c r="P75" s="7" t="s">
        <v>64</v>
      </c>
    </row>
    <row r="76" ht="42" customHeight="1" spans="1:16">
      <c r="A76" s="7" t="s">
        <v>511</v>
      </c>
      <c r="B76" s="7" t="s">
        <v>32</v>
      </c>
      <c r="C76" s="7" t="s">
        <v>512</v>
      </c>
      <c r="D76" s="7" t="s">
        <v>5</v>
      </c>
      <c r="E76" s="7" t="s">
        <v>141</v>
      </c>
      <c r="F76" s="7" t="s">
        <v>142</v>
      </c>
      <c r="G76" s="7" t="s">
        <v>513</v>
      </c>
      <c r="H76" s="7" t="s">
        <v>514</v>
      </c>
      <c r="I76" s="7" t="s">
        <v>58</v>
      </c>
      <c r="J76" s="7" t="s">
        <v>515</v>
      </c>
      <c r="K76" s="7" t="s">
        <v>60</v>
      </c>
      <c r="L76" s="7" t="s">
        <v>509</v>
      </c>
      <c r="M76" s="7" t="s">
        <v>142</v>
      </c>
      <c r="N76" s="7" t="s">
        <v>510</v>
      </c>
      <c r="O76" s="7" t="s">
        <v>72</v>
      </c>
      <c r="P76" s="7" t="s">
        <v>80</v>
      </c>
    </row>
    <row r="77" ht="42" customHeight="1" spans="1:16">
      <c r="A77" s="7" t="s">
        <v>516</v>
      </c>
      <c r="B77" s="7" t="s">
        <v>33</v>
      </c>
      <c r="C77" s="7" t="s">
        <v>517</v>
      </c>
      <c r="D77" s="7" t="s">
        <v>4</v>
      </c>
      <c r="E77" s="7" t="s">
        <v>342</v>
      </c>
      <c r="F77" s="7" t="s">
        <v>343</v>
      </c>
      <c r="G77" s="7" t="s">
        <v>518</v>
      </c>
      <c r="H77" s="7" t="s">
        <v>519</v>
      </c>
      <c r="I77" s="7" t="s">
        <v>520</v>
      </c>
      <c r="J77" s="7" t="s">
        <v>518</v>
      </c>
      <c r="K77" s="7" t="s">
        <v>60</v>
      </c>
      <c r="L77" s="7" t="s">
        <v>521</v>
      </c>
      <c r="M77" s="7" t="s">
        <v>343</v>
      </c>
      <c r="N77" s="7" t="s">
        <v>522</v>
      </c>
      <c r="O77" s="7" t="s">
        <v>72</v>
      </c>
      <c r="P77" s="7" t="s">
        <v>64</v>
      </c>
    </row>
    <row r="78" ht="42" customHeight="1" spans="1:16">
      <c r="A78" s="7" t="s">
        <v>523</v>
      </c>
      <c r="B78" s="7" t="s">
        <v>33</v>
      </c>
      <c r="C78" s="7" t="s">
        <v>524</v>
      </c>
      <c r="D78" s="7" t="s">
        <v>4</v>
      </c>
      <c r="E78" s="7" t="s">
        <v>525</v>
      </c>
      <c r="F78" s="7" t="s">
        <v>526</v>
      </c>
      <c r="G78" s="7" t="s">
        <v>527</v>
      </c>
      <c r="H78" s="7" t="s">
        <v>528</v>
      </c>
      <c r="I78" s="7" t="s">
        <v>520</v>
      </c>
      <c r="J78" s="7" t="s">
        <v>527</v>
      </c>
      <c r="K78" s="7" t="s">
        <v>60</v>
      </c>
      <c r="L78" s="7" t="s">
        <v>521</v>
      </c>
      <c r="M78" s="7" t="s">
        <v>526</v>
      </c>
      <c r="N78" s="7" t="s">
        <v>522</v>
      </c>
      <c r="O78" s="7" t="s">
        <v>72</v>
      </c>
      <c r="P78" s="7" t="s">
        <v>64</v>
      </c>
    </row>
    <row r="79" ht="42" customHeight="1" spans="1:16">
      <c r="A79" s="7" t="s">
        <v>529</v>
      </c>
      <c r="B79" s="7" t="s">
        <v>33</v>
      </c>
      <c r="C79" s="7" t="s">
        <v>530</v>
      </c>
      <c r="D79" s="7" t="s">
        <v>4</v>
      </c>
      <c r="E79" s="7" t="s">
        <v>531</v>
      </c>
      <c r="F79" s="7" t="s">
        <v>532</v>
      </c>
      <c r="G79" s="7" t="s">
        <v>533</v>
      </c>
      <c r="H79" s="7" t="s">
        <v>534</v>
      </c>
      <c r="I79" s="7" t="s">
        <v>520</v>
      </c>
      <c r="J79" s="7" t="s">
        <v>533</v>
      </c>
      <c r="K79" s="7" t="s">
        <v>60</v>
      </c>
      <c r="L79" s="7" t="s">
        <v>521</v>
      </c>
      <c r="M79" s="7" t="s">
        <v>532</v>
      </c>
      <c r="N79" s="7" t="s">
        <v>522</v>
      </c>
      <c r="O79" s="7" t="s">
        <v>72</v>
      </c>
      <c r="P79" s="7" t="s">
        <v>64</v>
      </c>
    </row>
    <row r="80" ht="42" customHeight="1" spans="1:16">
      <c r="A80" s="7" t="s">
        <v>535</v>
      </c>
      <c r="B80" s="7" t="s">
        <v>33</v>
      </c>
      <c r="C80" s="7" t="s">
        <v>536</v>
      </c>
      <c r="D80" s="7" t="s">
        <v>5</v>
      </c>
      <c r="E80" s="7" t="s">
        <v>537</v>
      </c>
      <c r="F80" s="7" t="s">
        <v>538</v>
      </c>
      <c r="G80" s="7" t="s">
        <v>539</v>
      </c>
      <c r="H80" s="7" t="s">
        <v>540</v>
      </c>
      <c r="I80" s="7" t="s">
        <v>520</v>
      </c>
      <c r="J80" s="7" t="s">
        <v>539</v>
      </c>
      <c r="K80" s="7" t="s">
        <v>60</v>
      </c>
      <c r="L80" s="7" t="s">
        <v>521</v>
      </c>
      <c r="M80" s="7" t="s">
        <v>538</v>
      </c>
      <c r="N80" s="7" t="s">
        <v>522</v>
      </c>
      <c r="O80" s="7" t="s">
        <v>72</v>
      </c>
      <c r="P80" s="7" t="s">
        <v>80</v>
      </c>
    </row>
    <row r="81" ht="42" customHeight="1" spans="1:16">
      <c r="A81" s="7" t="s">
        <v>541</v>
      </c>
      <c r="B81" s="7" t="s">
        <v>33</v>
      </c>
      <c r="C81" s="7" t="s">
        <v>542</v>
      </c>
      <c r="D81" s="7" t="s">
        <v>5</v>
      </c>
      <c r="E81" s="7" t="s">
        <v>543</v>
      </c>
      <c r="F81" s="7" t="s">
        <v>544</v>
      </c>
      <c r="G81" s="7" t="s">
        <v>545</v>
      </c>
      <c r="H81" s="7" t="s">
        <v>546</v>
      </c>
      <c r="I81" s="7" t="s">
        <v>520</v>
      </c>
      <c r="J81" s="7" t="s">
        <v>545</v>
      </c>
      <c r="K81" s="7" t="s">
        <v>60</v>
      </c>
      <c r="L81" s="7" t="s">
        <v>521</v>
      </c>
      <c r="M81" s="7" t="s">
        <v>544</v>
      </c>
      <c r="N81" s="7" t="s">
        <v>522</v>
      </c>
      <c r="O81" s="7" t="s">
        <v>72</v>
      </c>
      <c r="P81" s="7" t="s">
        <v>80</v>
      </c>
    </row>
    <row r="82" ht="42" customHeight="1" spans="1:16">
      <c r="A82" s="7" t="s">
        <v>547</v>
      </c>
      <c r="B82" s="7" t="s">
        <v>33</v>
      </c>
      <c r="C82" s="7" t="s">
        <v>548</v>
      </c>
      <c r="D82" s="7" t="s">
        <v>4</v>
      </c>
      <c r="E82" s="7" t="s">
        <v>549</v>
      </c>
      <c r="F82" s="7" t="s">
        <v>550</v>
      </c>
      <c r="G82" s="7" t="s">
        <v>551</v>
      </c>
      <c r="H82" s="7" t="s">
        <v>552</v>
      </c>
      <c r="I82" s="7" t="s">
        <v>520</v>
      </c>
      <c r="J82" s="7" t="s">
        <v>551</v>
      </c>
      <c r="K82" s="7" t="s">
        <v>60</v>
      </c>
      <c r="L82" s="7" t="s">
        <v>521</v>
      </c>
      <c r="M82" s="7" t="s">
        <v>550</v>
      </c>
      <c r="N82" s="7" t="s">
        <v>522</v>
      </c>
      <c r="O82" s="7" t="s">
        <v>72</v>
      </c>
      <c r="P82" s="7" t="s">
        <v>64</v>
      </c>
    </row>
    <row r="83" ht="42" customHeight="1" spans="1:16">
      <c r="A83" s="7" t="s">
        <v>553</v>
      </c>
      <c r="B83" s="7" t="s">
        <v>33</v>
      </c>
      <c r="C83" s="7" t="s">
        <v>554</v>
      </c>
      <c r="D83" s="7" t="s">
        <v>5</v>
      </c>
      <c r="E83" s="7" t="s">
        <v>555</v>
      </c>
      <c r="F83" s="7" t="s">
        <v>556</v>
      </c>
      <c r="G83" s="7" t="s">
        <v>557</v>
      </c>
      <c r="H83" s="7" t="s">
        <v>558</v>
      </c>
      <c r="I83" s="7" t="s">
        <v>520</v>
      </c>
      <c r="J83" s="7" t="s">
        <v>557</v>
      </c>
      <c r="K83" s="7" t="s">
        <v>60</v>
      </c>
      <c r="L83" s="7" t="s">
        <v>521</v>
      </c>
      <c r="M83" s="7" t="s">
        <v>556</v>
      </c>
      <c r="N83" s="7" t="s">
        <v>522</v>
      </c>
      <c r="O83" s="7" t="s">
        <v>72</v>
      </c>
      <c r="P83" s="7" t="s">
        <v>80</v>
      </c>
    </row>
    <row r="84" ht="42" customHeight="1" spans="1:16">
      <c r="A84" s="7" t="s">
        <v>559</v>
      </c>
      <c r="B84" s="7" t="s">
        <v>33</v>
      </c>
      <c r="C84" s="7" t="s">
        <v>560</v>
      </c>
      <c r="D84" s="7" t="s">
        <v>4</v>
      </c>
      <c r="E84" s="7" t="s">
        <v>561</v>
      </c>
      <c r="F84" s="7" t="s">
        <v>562</v>
      </c>
      <c r="G84" s="7" t="s">
        <v>563</v>
      </c>
      <c r="H84" s="7" t="s">
        <v>564</v>
      </c>
      <c r="I84" s="7" t="s">
        <v>520</v>
      </c>
      <c r="J84" s="7" t="s">
        <v>563</v>
      </c>
      <c r="K84" s="7" t="s">
        <v>60</v>
      </c>
      <c r="L84" s="7" t="s">
        <v>521</v>
      </c>
      <c r="M84" s="7" t="s">
        <v>562</v>
      </c>
      <c r="N84" s="7" t="s">
        <v>522</v>
      </c>
      <c r="O84" s="7" t="s">
        <v>72</v>
      </c>
      <c r="P84" s="7" t="s">
        <v>64</v>
      </c>
    </row>
    <row r="85" ht="42" customHeight="1" spans="1:16">
      <c r="A85" s="7" t="s">
        <v>565</v>
      </c>
      <c r="B85" s="7" t="s">
        <v>33</v>
      </c>
      <c r="C85" s="7" t="s">
        <v>566</v>
      </c>
      <c r="D85" s="7" t="s">
        <v>4</v>
      </c>
      <c r="E85" s="7" t="s">
        <v>456</v>
      </c>
      <c r="F85" s="7" t="s">
        <v>457</v>
      </c>
      <c r="G85" s="7" t="s">
        <v>567</v>
      </c>
      <c r="H85" s="7" t="s">
        <v>568</v>
      </c>
      <c r="I85" s="7" t="s">
        <v>520</v>
      </c>
      <c r="J85" s="7" t="s">
        <v>567</v>
      </c>
      <c r="K85" s="7" t="s">
        <v>60</v>
      </c>
      <c r="L85" s="7" t="s">
        <v>521</v>
      </c>
      <c r="M85" s="7" t="s">
        <v>457</v>
      </c>
      <c r="N85" s="7" t="s">
        <v>522</v>
      </c>
      <c r="O85" s="7" t="s">
        <v>72</v>
      </c>
      <c r="P85" s="7" t="s">
        <v>64</v>
      </c>
    </row>
    <row r="86" ht="42" customHeight="1" spans="1:16">
      <c r="A86" s="7" t="s">
        <v>569</v>
      </c>
      <c r="B86" s="7" t="s">
        <v>33</v>
      </c>
      <c r="C86" s="7" t="s">
        <v>570</v>
      </c>
      <c r="D86" s="7" t="s">
        <v>5</v>
      </c>
      <c r="E86" s="7" t="s">
        <v>571</v>
      </c>
      <c r="F86" s="7" t="s">
        <v>572</v>
      </c>
      <c r="G86" s="7" t="s">
        <v>573</v>
      </c>
      <c r="H86" s="7" t="s">
        <v>574</v>
      </c>
      <c r="I86" s="7" t="s">
        <v>520</v>
      </c>
      <c r="J86" s="7" t="s">
        <v>573</v>
      </c>
      <c r="K86" s="7" t="s">
        <v>60</v>
      </c>
      <c r="L86" s="7" t="s">
        <v>521</v>
      </c>
      <c r="M86" s="7" t="s">
        <v>572</v>
      </c>
      <c r="N86" s="7" t="s">
        <v>522</v>
      </c>
      <c r="O86" s="7" t="s">
        <v>72</v>
      </c>
      <c r="P86" s="7" t="s">
        <v>80</v>
      </c>
    </row>
    <row r="87" ht="42" customHeight="1" spans="1:16">
      <c r="A87" s="7" t="s">
        <v>575</v>
      </c>
      <c r="B87" s="7" t="s">
        <v>33</v>
      </c>
      <c r="C87" s="7" t="s">
        <v>576</v>
      </c>
      <c r="D87" s="7" t="s">
        <v>5</v>
      </c>
      <c r="E87" s="7" t="s">
        <v>577</v>
      </c>
      <c r="F87" s="7" t="s">
        <v>578</v>
      </c>
      <c r="G87" s="7" t="s">
        <v>579</v>
      </c>
      <c r="H87" s="7" t="s">
        <v>580</v>
      </c>
      <c r="I87" s="7" t="s">
        <v>520</v>
      </c>
      <c r="J87" s="7" t="s">
        <v>579</v>
      </c>
      <c r="K87" s="7" t="s">
        <v>60</v>
      </c>
      <c r="L87" s="7" t="s">
        <v>521</v>
      </c>
      <c r="M87" s="7" t="s">
        <v>578</v>
      </c>
      <c r="N87" s="7" t="s">
        <v>522</v>
      </c>
      <c r="O87" s="7" t="s">
        <v>63</v>
      </c>
      <c r="P87" s="7" t="s">
        <v>80</v>
      </c>
    </row>
    <row r="88" ht="42" customHeight="1" spans="1:16">
      <c r="A88" s="7" t="s">
        <v>581</v>
      </c>
      <c r="B88" s="7" t="s">
        <v>33</v>
      </c>
      <c r="C88" s="7" t="s">
        <v>582</v>
      </c>
      <c r="D88" s="7" t="s">
        <v>5</v>
      </c>
      <c r="E88" s="7" t="s">
        <v>141</v>
      </c>
      <c r="F88" s="7" t="s">
        <v>142</v>
      </c>
      <c r="G88" s="7" t="s">
        <v>583</v>
      </c>
      <c r="H88" s="7" t="s">
        <v>584</v>
      </c>
      <c r="I88" s="7" t="s">
        <v>520</v>
      </c>
      <c r="J88" s="7" t="s">
        <v>583</v>
      </c>
      <c r="K88" s="7" t="s">
        <v>60</v>
      </c>
      <c r="L88" s="7" t="s">
        <v>521</v>
      </c>
      <c r="M88" s="7" t="s">
        <v>142</v>
      </c>
      <c r="N88" s="7" t="s">
        <v>522</v>
      </c>
      <c r="O88" s="7" t="s">
        <v>72</v>
      </c>
      <c r="P88" s="7" t="s">
        <v>80</v>
      </c>
    </row>
    <row r="89" ht="42" customHeight="1" spans="1:16">
      <c r="A89" s="7" t="s">
        <v>585</v>
      </c>
      <c r="B89" s="7" t="s">
        <v>33</v>
      </c>
      <c r="C89" s="7" t="s">
        <v>586</v>
      </c>
      <c r="D89" s="7" t="s">
        <v>5</v>
      </c>
      <c r="E89" s="7" t="s">
        <v>148</v>
      </c>
      <c r="F89" s="7" t="s">
        <v>149</v>
      </c>
      <c r="G89" s="7" t="s">
        <v>587</v>
      </c>
      <c r="H89" s="7" t="s">
        <v>588</v>
      </c>
      <c r="I89" s="7" t="s">
        <v>520</v>
      </c>
      <c r="J89" s="7" t="s">
        <v>587</v>
      </c>
      <c r="K89" s="7" t="s">
        <v>60</v>
      </c>
      <c r="L89" s="7" t="s">
        <v>521</v>
      </c>
      <c r="M89" s="7" t="s">
        <v>149</v>
      </c>
      <c r="N89" s="7" t="s">
        <v>522</v>
      </c>
      <c r="O89" s="7" t="s">
        <v>72</v>
      </c>
      <c r="P89" s="7" t="s">
        <v>80</v>
      </c>
    </row>
    <row r="90" ht="42" customHeight="1" spans="1:16">
      <c r="A90" s="7" t="s">
        <v>589</v>
      </c>
      <c r="B90" s="7" t="s">
        <v>33</v>
      </c>
      <c r="C90" s="7" t="s">
        <v>590</v>
      </c>
      <c r="D90" s="7" t="s">
        <v>4</v>
      </c>
      <c r="E90" s="7" t="s">
        <v>591</v>
      </c>
      <c r="F90" s="7" t="s">
        <v>592</v>
      </c>
      <c r="G90" s="7" t="s">
        <v>593</v>
      </c>
      <c r="H90" s="7" t="s">
        <v>594</v>
      </c>
      <c r="I90" s="7" t="s">
        <v>520</v>
      </c>
      <c r="J90" s="7" t="s">
        <v>593</v>
      </c>
      <c r="K90" s="7" t="s">
        <v>60</v>
      </c>
      <c r="L90" s="7" t="s">
        <v>521</v>
      </c>
      <c r="M90" s="7" t="s">
        <v>592</v>
      </c>
      <c r="N90" s="7" t="s">
        <v>522</v>
      </c>
      <c r="O90" s="7" t="s">
        <v>72</v>
      </c>
      <c r="P90" s="7" t="s">
        <v>64</v>
      </c>
    </row>
    <row r="91" ht="42" customHeight="1" spans="1:16">
      <c r="A91" s="7" t="s">
        <v>595</v>
      </c>
      <c r="B91" s="7" t="s">
        <v>33</v>
      </c>
      <c r="C91" s="7" t="s">
        <v>596</v>
      </c>
      <c r="D91" s="7" t="s">
        <v>266</v>
      </c>
      <c r="E91" s="7" t="s">
        <v>351</v>
      </c>
      <c r="F91" s="7" t="s">
        <v>352</v>
      </c>
      <c r="G91" s="7" t="s">
        <v>597</v>
      </c>
      <c r="H91" s="7" t="s">
        <v>598</v>
      </c>
      <c r="I91" s="7" t="s">
        <v>520</v>
      </c>
      <c r="J91" s="7" t="s">
        <v>597</v>
      </c>
      <c r="K91" s="7" t="s">
        <v>60</v>
      </c>
      <c r="L91" s="7" t="s">
        <v>521</v>
      </c>
      <c r="M91" s="7" t="s">
        <v>352</v>
      </c>
      <c r="N91" s="7" t="s">
        <v>522</v>
      </c>
      <c r="O91" s="7" t="s">
        <v>72</v>
      </c>
      <c r="P91" s="7" t="s">
        <v>270</v>
      </c>
    </row>
    <row r="92" ht="42" customHeight="1" spans="1:16">
      <c r="A92" s="7" t="s">
        <v>599</v>
      </c>
      <c r="B92" s="7" t="s">
        <v>33</v>
      </c>
      <c r="C92" s="7" t="s">
        <v>600</v>
      </c>
      <c r="D92" s="7" t="s">
        <v>5</v>
      </c>
      <c r="E92" s="7" t="s">
        <v>134</v>
      </c>
      <c r="F92" s="7" t="s">
        <v>135</v>
      </c>
      <c r="G92" s="7" t="s">
        <v>601</v>
      </c>
      <c r="H92" s="7" t="s">
        <v>602</v>
      </c>
      <c r="I92" s="7" t="s">
        <v>520</v>
      </c>
      <c r="J92" s="7" t="s">
        <v>601</v>
      </c>
      <c r="K92" s="7" t="s">
        <v>60</v>
      </c>
      <c r="L92" s="7" t="s">
        <v>521</v>
      </c>
      <c r="M92" s="7" t="s">
        <v>135</v>
      </c>
      <c r="N92" s="7" t="s">
        <v>522</v>
      </c>
      <c r="O92" s="7" t="s">
        <v>72</v>
      </c>
      <c r="P92" s="7" t="s">
        <v>80</v>
      </c>
    </row>
    <row r="93" ht="42" customHeight="1" spans="1:16">
      <c r="A93" s="7" t="s">
        <v>603</v>
      </c>
      <c r="B93" s="7" t="s">
        <v>34</v>
      </c>
      <c r="C93" s="7" t="s">
        <v>604</v>
      </c>
      <c r="D93" s="7" t="s">
        <v>4</v>
      </c>
      <c r="E93" s="7" t="s">
        <v>605</v>
      </c>
      <c r="F93" s="7" t="s">
        <v>606</v>
      </c>
      <c r="G93" s="7" t="s">
        <v>607</v>
      </c>
      <c r="H93" s="7" t="s">
        <v>608</v>
      </c>
      <c r="I93" s="7" t="s">
        <v>609</v>
      </c>
      <c r="J93" s="7" t="s">
        <v>610</v>
      </c>
      <c r="K93" s="7" t="s">
        <v>60</v>
      </c>
      <c r="L93" s="7" t="s">
        <v>611</v>
      </c>
      <c r="M93" s="7" t="s">
        <v>612</v>
      </c>
      <c r="N93" s="7" t="s">
        <v>613</v>
      </c>
      <c r="O93" s="7" t="s">
        <v>72</v>
      </c>
      <c r="P93" s="7" t="s">
        <v>64</v>
      </c>
    </row>
    <row r="94" ht="42" customHeight="1" spans="1:16">
      <c r="A94" s="7" t="s">
        <v>614</v>
      </c>
      <c r="B94" s="7" t="s">
        <v>34</v>
      </c>
      <c r="C94" s="7" t="s">
        <v>615</v>
      </c>
      <c r="D94" s="7" t="s">
        <v>4</v>
      </c>
      <c r="E94" s="7" t="s">
        <v>616</v>
      </c>
      <c r="F94" s="7" t="s">
        <v>617</v>
      </c>
      <c r="G94" s="7" t="s">
        <v>618</v>
      </c>
      <c r="H94" s="7" t="s">
        <v>619</v>
      </c>
      <c r="I94" s="7" t="s">
        <v>609</v>
      </c>
      <c r="J94" s="7" t="s">
        <v>610</v>
      </c>
      <c r="K94" s="7" t="s">
        <v>60</v>
      </c>
      <c r="L94" s="7" t="s">
        <v>611</v>
      </c>
      <c r="M94" s="7" t="s">
        <v>612</v>
      </c>
      <c r="N94" s="7" t="s">
        <v>613</v>
      </c>
      <c r="O94" s="7" t="s">
        <v>72</v>
      </c>
      <c r="P94" s="7" t="s">
        <v>64</v>
      </c>
    </row>
    <row r="95" ht="42" customHeight="1" spans="1:16">
      <c r="A95" s="7" t="s">
        <v>620</v>
      </c>
      <c r="B95" s="7" t="s">
        <v>34</v>
      </c>
      <c r="C95" s="7" t="s">
        <v>621</v>
      </c>
      <c r="D95" s="7" t="s">
        <v>4</v>
      </c>
      <c r="E95" s="7" t="s">
        <v>184</v>
      </c>
      <c r="F95" s="7" t="s">
        <v>185</v>
      </c>
      <c r="G95" s="7" t="s">
        <v>622</v>
      </c>
      <c r="H95" s="7" t="s">
        <v>623</v>
      </c>
      <c r="I95" s="7" t="s">
        <v>609</v>
      </c>
      <c r="J95" s="7" t="s">
        <v>610</v>
      </c>
      <c r="K95" s="7" t="s">
        <v>60</v>
      </c>
      <c r="L95" s="7" t="s">
        <v>611</v>
      </c>
      <c r="M95" s="7" t="s">
        <v>612</v>
      </c>
      <c r="N95" s="7" t="s">
        <v>613</v>
      </c>
      <c r="O95" s="7" t="s">
        <v>72</v>
      </c>
      <c r="P95" s="7" t="s">
        <v>64</v>
      </c>
    </row>
    <row r="96" ht="42" customHeight="1" spans="1:16">
      <c r="A96" s="7" t="s">
        <v>624</v>
      </c>
      <c r="B96" s="7" t="s">
        <v>34</v>
      </c>
      <c r="C96" s="7" t="s">
        <v>625</v>
      </c>
      <c r="D96" s="7" t="s">
        <v>4</v>
      </c>
      <c r="E96" s="7" t="s">
        <v>626</v>
      </c>
      <c r="F96" s="7" t="s">
        <v>627</v>
      </c>
      <c r="G96" s="7" t="s">
        <v>628</v>
      </c>
      <c r="H96" s="7" t="s">
        <v>629</v>
      </c>
      <c r="I96" s="7" t="s">
        <v>609</v>
      </c>
      <c r="J96" s="7" t="s">
        <v>610</v>
      </c>
      <c r="K96" s="7" t="s">
        <v>60</v>
      </c>
      <c r="L96" s="7" t="s">
        <v>611</v>
      </c>
      <c r="M96" s="7" t="s">
        <v>612</v>
      </c>
      <c r="N96" s="7" t="s">
        <v>613</v>
      </c>
      <c r="O96" s="7" t="s">
        <v>72</v>
      </c>
      <c r="P96" s="7" t="s">
        <v>64</v>
      </c>
    </row>
    <row r="97" ht="42" customHeight="1" spans="1:16">
      <c r="A97" s="7" t="s">
        <v>630</v>
      </c>
      <c r="B97" s="7" t="s">
        <v>34</v>
      </c>
      <c r="C97" s="7" t="s">
        <v>631</v>
      </c>
      <c r="D97" s="7" t="s">
        <v>4</v>
      </c>
      <c r="E97" s="7" t="s">
        <v>632</v>
      </c>
      <c r="F97" s="7" t="s">
        <v>633</v>
      </c>
      <c r="G97" s="7" t="s">
        <v>634</v>
      </c>
      <c r="H97" s="7" t="s">
        <v>635</v>
      </c>
      <c r="I97" s="7" t="s">
        <v>609</v>
      </c>
      <c r="J97" s="7" t="s">
        <v>610</v>
      </c>
      <c r="K97" s="7" t="s">
        <v>60</v>
      </c>
      <c r="L97" s="7" t="s">
        <v>611</v>
      </c>
      <c r="M97" s="7" t="s">
        <v>612</v>
      </c>
      <c r="N97" s="7" t="s">
        <v>613</v>
      </c>
      <c r="O97" s="7" t="s">
        <v>72</v>
      </c>
      <c r="P97" s="7" t="s">
        <v>64</v>
      </c>
    </row>
    <row r="98" ht="42" customHeight="1" spans="1:16">
      <c r="A98" s="7" t="s">
        <v>636</v>
      </c>
      <c r="B98" s="7" t="s">
        <v>34</v>
      </c>
      <c r="C98" s="7" t="s">
        <v>637</v>
      </c>
      <c r="D98" s="7" t="s">
        <v>4</v>
      </c>
      <c r="E98" s="7" t="s">
        <v>638</v>
      </c>
      <c r="F98" s="7" t="s">
        <v>639</v>
      </c>
      <c r="G98" s="7" t="s">
        <v>640</v>
      </c>
      <c r="H98" s="7" t="s">
        <v>641</v>
      </c>
      <c r="I98" s="7" t="s">
        <v>609</v>
      </c>
      <c r="J98" s="7" t="s">
        <v>610</v>
      </c>
      <c r="K98" s="7" t="s">
        <v>60</v>
      </c>
      <c r="L98" s="7" t="s">
        <v>611</v>
      </c>
      <c r="M98" s="7" t="s">
        <v>612</v>
      </c>
      <c r="N98" s="7" t="s">
        <v>613</v>
      </c>
      <c r="O98" s="7" t="s">
        <v>72</v>
      </c>
      <c r="P98" s="7" t="s">
        <v>64</v>
      </c>
    </row>
    <row r="99" ht="42" customHeight="1" spans="1:16">
      <c r="A99" s="7" t="s">
        <v>642</v>
      </c>
      <c r="B99" s="7" t="s">
        <v>34</v>
      </c>
      <c r="C99" s="7" t="s">
        <v>643</v>
      </c>
      <c r="D99" s="7" t="s">
        <v>4</v>
      </c>
      <c r="E99" s="7" t="s">
        <v>644</v>
      </c>
      <c r="F99" s="7" t="s">
        <v>645</v>
      </c>
      <c r="G99" s="7" t="s">
        <v>646</v>
      </c>
      <c r="H99" s="7" t="s">
        <v>647</v>
      </c>
      <c r="I99" s="7" t="s">
        <v>609</v>
      </c>
      <c r="J99" s="7" t="s">
        <v>610</v>
      </c>
      <c r="K99" s="7" t="s">
        <v>60</v>
      </c>
      <c r="L99" s="7" t="s">
        <v>611</v>
      </c>
      <c r="M99" s="7" t="s">
        <v>612</v>
      </c>
      <c r="N99" s="7" t="s">
        <v>613</v>
      </c>
      <c r="O99" s="7" t="s">
        <v>72</v>
      </c>
      <c r="P99" s="7" t="s">
        <v>64</v>
      </c>
    </row>
    <row r="100" ht="42" customHeight="1" spans="1:16">
      <c r="A100" s="7" t="s">
        <v>648</v>
      </c>
      <c r="B100" s="7" t="s">
        <v>34</v>
      </c>
      <c r="C100" s="7" t="s">
        <v>649</v>
      </c>
      <c r="D100" s="7" t="s">
        <v>4</v>
      </c>
      <c r="E100" s="7" t="s">
        <v>650</v>
      </c>
      <c r="F100" s="7" t="s">
        <v>651</v>
      </c>
      <c r="G100" s="7" t="s">
        <v>652</v>
      </c>
      <c r="H100" s="7" t="s">
        <v>653</v>
      </c>
      <c r="I100" s="7" t="s">
        <v>609</v>
      </c>
      <c r="J100" s="7" t="s">
        <v>610</v>
      </c>
      <c r="K100" s="7" t="s">
        <v>60</v>
      </c>
      <c r="L100" s="7" t="s">
        <v>611</v>
      </c>
      <c r="M100" s="7" t="s">
        <v>612</v>
      </c>
      <c r="N100" s="7" t="s">
        <v>613</v>
      </c>
      <c r="O100" s="7" t="s">
        <v>72</v>
      </c>
      <c r="P100" s="7" t="s">
        <v>64</v>
      </c>
    </row>
    <row r="101" ht="42" customHeight="1" spans="1:16">
      <c r="A101" s="7" t="s">
        <v>654</v>
      </c>
      <c r="B101" s="7" t="s">
        <v>34</v>
      </c>
      <c r="C101" s="7" t="s">
        <v>655</v>
      </c>
      <c r="D101" s="7" t="s">
        <v>4</v>
      </c>
      <c r="E101" s="7" t="s">
        <v>656</v>
      </c>
      <c r="F101" s="7" t="s">
        <v>657</v>
      </c>
      <c r="G101" s="7" t="s">
        <v>658</v>
      </c>
      <c r="H101" s="7" t="s">
        <v>659</v>
      </c>
      <c r="I101" s="7" t="s">
        <v>609</v>
      </c>
      <c r="J101" s="7" t="s">
        <v>610</v>
      </c>
      <c r="K101" s="7" t="s">
        <v>60</v>
      </c>
      <c r="L101" s="7" t="s">
        <v>611</v>
      </c>
      <c r="M101" s="7" t="s">
        <v>612</v>
      </c>
      <c r="N101" s="7" t="s">
        <v>613</v>
      </c>
      <c r="O101" s="7" t="s">
        <v>72</v>
      </c>
      <c r="P101" s="7" t="s">
        <v>64</v>
      </c>
    </row>
    <row r="102" ht="42" customHeight="1" spans="1:16">
      <c r="A102" s="7" t="s">
        <v>660</v>
      </c>
      <c r="B102" s="7" t="s">
        <v>34</v>
      </c>
      <c r="C102" s="7" t="s">
        <v>661</v>
      </c>
      <c r="D102" s="7" t="s">
        <v>4</v>
      </c>
      <c r="E102" s="7" t="s">
        <v>456</v>
      </c>
      <c r="F102" s="7" t="s">
        <v>457</v>
      </c>
      <c r="G102" s="7" t="s">
        <v>662</v>
      </c>
      <c r="H102" s="7" t="s">
        <v>663</v>
      </c>
      <c r="I102" s="7" t="s">
        <v>609</v>
      </c>
      <c r="J102" s="7" t="s">
        <v>610</v>
      </c>
      <c r="K102" s="7" t="s">
        <v>60</v>
      </c>
      <c r="L102" s="7" t="s">
        <v>611</v>
      </c>
      <c r="M102" s="7" t="s">
        <v>612</v>
      </c>
      <c r="N102" s="7" t="s">
        <v>613</v>
      </c>
      <c r="O102" s="7" t="s">
        <v>72</v>
      </c>
      <c r="P102" s="7" t="s">
        <v>64</v>
      </c>
    </row>
    <row r="103" ht="42" customHeight="1" spans="1:16">
      <c r="A103" s="7" t="s">
        <v>664</v>
      </c>
      <c r="B103" s="7" t="s">
        <v>34</v>
      </c>
      <c r="C103" s="7" t="s">
        <v>665</v>
      </c>
      <c r="D103" s="7" t="s">
        <v>5</v>
      </c>
      <c r="E103" s="7" t="s">
        <v>666</v>
      </c>
      <c r="F103" s="7" t="s">
        <v>667</v>
      </c>
      <c r="G103" s="7" t="s">
        <v>668</v>
      </c>
      <c r="H103" s="7" t="s">
        <v>669</v>
      </c>
      <c r="I103" s="7" t="s">
        <v>609</v>
      </c>
      <c r="J103" s="7" t="s">
        <v>610</v>
      </c>
      <c r="K103" s="7" t="s">
        <v>60</v>
      </c>
      <c r="L103" s="7" t="s">
        <v>611</v>
      </c>
      <c r="M103" s="7" t="s">
        <v>612</v>
      </c>
      <c r="N103" s="7" t="s">
        <v>613</v>
      </c>
      <c r="O103" s="7" t="s">
        <v>72</v>
      </c>
      <c r="P103" s="7" t="s">
        <v>80</v>
      </c>
    </row>
    <row r="104" ht="42" customHeight="1" spans="1:16">
      <c r="A104" s="7" t="s">
        <v>670</v>
      </c>
      <c r="B104" s="7" t="s">
        <v>34</v>
      </c>
      <c r="C104" s="7" t="s">
        <v>671</v>
      </c>
      <c r="D104" s="7" t="s">
        <v>5</v>
      </c>
      <c r="E104" s="7" t="s">
        <v>672</v>
      </c>
      <c r="F104" s="7" t="s">
        <v>673</v>
      </c>
      <c r="G104" s="7" t="s">
        <v>674</v>
      </c>
      <c r="H104" s="7" t="s">
        <v>675</v>
      </c>
      <c r="I104" s="7" t="s">
        <v>609</v>
      </c>
      <c r="J104" s="7" t="s">
        <v>610</v>
      </c>
      <c r="K104" s="7" t="s">
        <v>60</v>
      </c>
      <c r="L104" s="7" t="s">
        <v>611</v>
      </c>
      <c r="M104" s="7" t="s">
        <v>612</v>
      </c>
      <c r="N104" s="7" t="s">
        <v>613</v>
      </c>
      <c r="O104" s="7" t="s">
        <v>72</v>
      </c>
      <c r="P104" s="7" t="s">
        <v>80</v>
      </c>
    </row>
    <row r="105" ht="42" customHeight="1" spans="1:16">
      <c r="A105" s="7" t="s">
        <v>676</v>
      </c>
      <c r="B105" s="7" t="s">
        <v>34</v>
      </c>
      <c r="C105" s="7" t="s">
        <v>677</v>
      </c>
      <c r="D105" s="7" t="s">
        <v>5</v>
      </c>
      <c r="E105" s="7" t="s">
        <v>678</v>
      </c>
      <c r="F105" s="7" t="s">
        <v>678</v>
      </c>
      <c r="G105" s="7" t="s">
        <v>679</v>
      </c>
      <c r="H105" s="7" t="s">
        <v>680</v>
      </c>
      <c r="I105" s="7" t="s">
        <v>609</v>
      </c>
      <c r="J105" s="7" t="s">
        <v>610</v>
      </c>
      <c r="K105" s="7" t="s">
        <v>60</v>
      </c>
      <c r="L105" s="7" t="s">
        <v>611</v>
      </c>
      <c r="M105" s="7" t="s">
        <v>612</v>
      </c>
      <c r="N105" s="7" t="s">
        <v>613</v>
      </c>
      <c r="O105" s="7" t="s">
        <v>72</v>
      </c>
      <c r="P105" s="7" t="s">
        <v>80</v>
      </c>
    </row>
    <row r="106" ht="42" customHeight="1" spans="1:16">
      <c r="A106" s="7" t="s">
        <v>681</v>
      </c>
      <c r="B106" s="7" t="s">
        <v>34</v>
      </c>
      <c r="C106" s="7" t="s">
        <v>682</v>
      </c>
      <c r="D106" s="7" t="s">
        <v>5</v>
      </c>
      <c r="E106" s="7" t="s">
        <v>683</v>
      </c>
      <c r="F106" s="7" t="s">
        <v>684</v>
      </c>
      <c r="G106" s="7" t="s">
        <v>685</v>
      </c>
      <c r="H106" s="7" t="s">
        <v>686</v>
      </c>
      <c r="I106" s="7" t="s">
        <v>609</v>
      </c>
      <c r="J106" s="7" t="s">
        <v>610</v>
      </c>
      <c r="K106" s="7" t="s">
        <v>60</v>
      </c>
      <c r="L106" s="7" t="s">
        <v>611</v>
      </c>
      <c r="M106" s="7" t="s">
        <v>612</v>
      </c>
      <c r="N106" s="7" t="s">
        <v>613</v>
      </c>
      <c r="O106" s="7" t="s">
        <v>72</v>
      </c>
      <c r="P106" s="7" t="s">
        <v>80</v>
      </c>
    </row>
  </sheetData>
  <mergeCells count="2">
    <mergeCell ref="A1:P1"/>
    <mergeCell ref="A2:P2"/>
  </mergeCells>
  <conditionalFormatting sqref="D5:D106">
    <cfRule type="containsText" dxfId="0" priority="1" operator="between" text="P0">
      <formula>NOT(ISERROR(SEARCH("P0",D5)))</formula>
    </cfRule>
    <cfRule type="containsText" dxfId="1" priority="2" operator="between" text="P1">
      <formula>NOT(ISERROR(SEARCH("P1",D5)))</formula>
    </cfRule>
    <cfRule type="containsText" dxfId="2" priority="3" operator="between" text="P2">
      <formula>NOT(ISERROR(SEARCH("P2",D5)))</formula>
    </cfRule>
  </conditionalFormatting>
  <dataValidations count="2">
    <dataValidation type="list" sqref="D5:D106">
      <formula1>"P0,P1,P2"</formula1>
    </dataValidation>
    <dataValidation type="list" sqref="O5:O106">
      <formula1>"已锁定,建议采用,待主创确认,待外部回流,视图待确认,未能确认"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showGridLines="0" workbookViewId="0">
      <selection activeCell="A1" sqref="A1:I1"/>
    </sheetView>
  </sheetViews>
  <sheetFormatPr defaultColWidth="9" defaultRowHeight="14"/>
  <cols>
    <col min="1" max="1" width="38" customWidth="1"/>
    <col min="2" max="2" width="10" customWidth="1"/>
    <col min="3" max="3" width="24" customWidth="1"/>
    <col min="4" max="4" width="8" customWidth="1"/>
    <col min="5" max="5" width="18" customWidth="1"/>
    <col min="6" max="6" width="38" customWidth="1"/>
    <col min="7" max="7" width="30" customWidth="1"/>
    <col min="8" max="8" width="16" customWidth="1"/>
    <col min="9" max="9" width="34" customWidth="1"/>
  </cols>
  <sheetData>
    <row r="1" ht="30" customHeight="1" spans="1:9">
      <c r="A1" s="1" t="s">
        <v>687</v>
      </c>
      <c r="B1" s="1"/>
      <c r="C1" s="1"/>
      <c r="D1" s="1"/>
      <c r="E1" s="1"/>
      <c r="F1" s="1"/>
      <c r="G1" s="1"/>
      <c r="H1" s="1"/>
      <c r="I1" s="1"/>
    </row>
    <row r="2" ht="22" customHeight="1" spans="1:9">
      <c r="A2" s="2" t="s">
        <v>36</v>
      </c>
      <c r="B2" s="2"/>
      <c r="C2" s="2"/>
      <c r="D2" s="2"/>
      <c r="E2" s="2"/>
      <c r="F2" s="2"/>
      <c r="G2" s="2"/>
      <c r="H2" s="2"/>
      <c r="I2" s="2"/>
    </row>
    <row r="4" ht="30" customHeight="1" spans="1:9">
      <c r="A4" s="3" t="s">
        <v>37</v>
      </c>
      <c r="B4" s="4" t="s">
        <v>688</v>
      </c>
      <c r="C4" s="4" t="s">
        <v>38</v>
      </c>
      <c r="D4" s="4" t="s">
        <v>689</v>
      </c>
      <c r="E4" s="4" t="s">
        <v>40</v>
      </c>
      <c r="F4" s="4" t="s">
        <v>690</v>
      </c>
      <c r="G4" s="4" t="s">
        <v>691</v>
      </c>
      <c r="H4" s="4" t="s">
        <v>50</v>
      </c>
      <c r="I4" s="5" t="s">
        <v>692</v>
      </c>
    </row>
    <row r="5" ht="42" customHeight="1" spans="1:9">
      <c r="A5" s="6" t="s">
        <v>52</v>
      </c>
      <c r="B5" s="6" t="s">
        <v>10</v>
      </c>
      <c r="C5" s="6" t="s">
        <v>53</v>
      </c>
      <c r="D5" s="6" t="s">
        <v>4</v>
      </c>
      <c r="E5" s="6" t="s">
        <v>54</v>
      </c>
      <c r="F5" s="6" t="s">
        <v>56</v>
      </c>
      <c r="G5" s="6" t="s">
        <v>58</v>
      </c>
      <c r="H5" s="6" t="s">
        <v>63</v>
      </c>
      <c r="I5" s="6" t="s">
        <v>64</v>
      </c>
    </row>
    <row r="6" ht="42" customHeight="1" spans="1:9">
      <c r="A6" s="7" t="s">
        <v>65</v>
      </c>
      <c r="B6" s="7" t="s">
        <v>10</v>
      </c>
      <c r="C6" s="7" t="s">
        <v>66</v>
      </c>
      <c r="D6" s="7" t="s">
        <v>4</v>
      </c>
      <c r="E6" s="7" t="s">
        <v>67</v>
      </c>
      <c r="F6" s="7" t="s">
        <v>69</v>
      </c>
      <c r="G6" s="7" t="s">
        <v>58</v>
      </c>
      <c r="H6" s="7" t="s">
        <v>72</v>
      </c>
      <c r="I6" s="7" t="s">
        <v>64</v>
      </c>
    </row>
    <row r="7" ht="42" customHeight="1" spans="1:9">
      <c r="A7" s="7" t="s">
        <v>73</v>
      </c>
      <c r="B7" s="7" t="s">
        <v>10</v>
      </c>
      <c r="C7" s="7" t="s">
        <v>74</v>
      </c>
      <c r="D7" s="7" t="s">
        <v>5</v>
      </c>
      <c r="E7" s="7" t="s">
        <v>75</v>
      </c>
      <c r="F7" s="7" t="s">
        <v>77</v>
      </c>
      <c r="G7" s="7" t="s">
        <v>58</v>
      </c>
      <c r="H7" s="7" t="s">
        <v>72</v>
      </c>
      <c r="I7" s="7" t="s">
        <v>80</v>
      </c>
    </row>
    <row r="8" ht="42" customHeight="1" spans="1:9">
      <c r="A8" s="7" t="s">
        <v>81</v>
      </c>
      <c r="B8" s="7" t="s">
        <v>10</v>
      </c>
      <c r="C8" s="7" t="s">
        <v>82</v>
      </c>
      <c r="D8" s="7" t="s">
        <v>5</v>
      </c>
      <c r="E8" s="7" t="s">
        <v>83</v>
      </c>
      <c r="F8" s="7" t="s">
        <v>85</v>
      </c>
      <c r="G8" s="7" t="s">
        <v>58</v>
      </c>
      <c r="H8" s="7" t="s">
        <v>72</v>
      </c>
      <c r="I8" s="7" t="s">
        <v>80</v>
      </c>
    </row>
    <row r="9" ht="42" customHeight="1" spans="1:9">
      <c r="A9" s="7" t="s">
        <v>88</v>
      </c>
      <c r="B9" s="7" t="s">
        <v>14</v>
      </c>
      <c r="C9" s="7" t="s">
        <v>89</v>
      </c>
      <c r="D9" s="7" t="s">
        <v>4</v>
      </c>
      <c r="E9" s="7" t="s">
        <v>90</v>
      </c>
      <c r="F9" s="7" t="s">
        <v>92</v>
      </c>
      <c r="G9" s="7" t="s">
        <v>94</v>
      </c>
      <c r="H9" s="7" t="s">
        <v>63</v>
      </c>
      <c r="I9" s="7" t="s">
        <v>64</v>
      </c>
    </row>
    <row r="10" ht="42" customHeight="1" spans="1:9">
      <c r="A10" s="7" t="s">
        <v>99</v>
      </c>
      <c r="B10" s="7" t="s">
        <v>14</v>
      </c>
      <c r="C10" s="7" t="s">
        <v>100</v>
      </c>
      <c r="D10" s="7" t="s">
        <v>4</v>
      </c>
      <c r="E10" s="7" t="s">
        <v>101</v>
      </c>
      <c r="F10" s="7" t="s">
        <v>103</v>
      </c>
      <c r="G10" s="7" t="s">
        <v>94</v>
      </c>
      <c r="H10" s="7" t="s">
        <v>72</v>
      </c>
      <c r="I10" s="7" t="s">
        <v>64</v>
      </c>
    </row>
    <row r="11" ht="42" customHeight="1" spans="1:9">
      <c r="A11" s="7" t="s">
        <v>106</v>
      </c>
      <c r="B11" s="7" t="s">
        <v>14</v>
      </c>
      <c r="C11" s="7" t="s">
        <v>107</v>
      </c>
      <c r="D11" s="7" t="s">
        <v>5</v>
      </c>
      <c r="E11" s="7" t="s">
        <v>108</v>
      </c>
      <c r="F11" s="7" t="s">
        <v>110</v>
      </c>
      <c r="G11" s="7" t="s">
        <v>94</v>
      </c>
      <c r="H11" s="7" t="s">
        <v>72</v>
      </c>
      <c r="I11" s="7" t="s">
        <v>80</v>
      </c>
    </row>
    <row r="12" ht="42" customHeight="1" spans="1:9">
      <c r="A12" s="7" t="s">
        <v>113</v>
      </c>
      <c r="B12" s="7" t="s">
        <v>14</v>
      </c>
      <c r="C12" s="7" t="s">
        <v>114</v>
      </c>
      <c r="D12" s="7" t="s">
        <v>5</v>
      </c>
      <c r="E12" s="7" t="s">
        <v>115</v>
      </c>
      <c r="F12" s="7" t="s">
        <v>117</v>
      </c>
      <c r="G12" s="7" t="s">
        <v>94</v>
      </c>
      <c r="H12" s="7" t="s">
        <v>72</v>
      </c>
      <c r="I12" s="7" t="s">
        <v>80</v>
      </c>
    </row>
    <row r="13" ht="42" customHeight="1" spans="1:9">
      <c r="A13" s="7" t="s">
        <v>120</v>
      </c>
      <c r="B13" s="7" t="s">
        <v>14</v>
      </c>
      <c r="C13" s="7" t="s">
        <v>121</v>
      </c>
      <c r="D13" s="7" t="s">
        <v>5</v>
      </c>
      <c r="E13" s="7" t="s">
        <v>83</v>
      </c>
      <c r="F13" s="7" t="s">
        <v>122</v>
      </c>
      <c r="G13" s="7" t="s">
        <v>94</v>
      </c>
      <c r="H13" s="7" t="s">
        <v>72</v>
      </c>
      <c r="I13" s="7" t="s">
        <v>80</v>
      </c>
    </row>
    <row r="14" ht="42" customHeight="1" spans="1:9">
      <c r="A14" s="7" t="s">
        <v>125</v>
      </c>
      <c r="B14" s="7" t="s">
        <v>14</v>
      </c>
      <c r="C14" s="7" t="s">
        <v>126</v>
      </c>
      <c r="D14" s="7" t="s">
        <v>5</v>
      </c>
      <c r="E14" s="7" t="s">
        <v>127</v>
      </c>
      <c r="F14" s="7" t="s">
        <v>129</v>
      </c>
      <c r="G14" s="7" t="s">
        <v>94</v>
      </c>
      <c r="H14" s="7" t="s">
        <v>72</v>
      </c>
      <c r="I14" s="7" t="s">
        <v>80</v>
      </c>
    </row>
    <row r="15" ht="42" customHeight="1" spans="1:9">
      <c r="A15" s="7" t="s">
        <v>132</v>
      </c>
      <c r="B15" s="7" t="s">
        <v>14</v>
      </c>
      <c r="C15" s="7" t="s">
        <v>133</v>
      </c>
      <c r="D15" s="7" t="s">
        <v>5</v>
      </c>
      <c r="E15" s="7" t="s">
        <v>134</v>
      </c>
      <c r="F15" s="7" t="s">
        <v>136</v>
      </c>
      <c r="G15" s="7" t="s">
        <v>94</v>
      </c>
      <c r="H15" s="7" t="s">
        <v>72</v>
      </c>
      <c r="I15" s="7" t="s">
        <v>80</v>
      </c>
    </row>
    <row r="16" ht="42" customHeight="1" spans="1:9">
      <c r="A16" s="7" t="s">
        <v>139</v>
      </c>
      <c r="B16" s="7" t="s">
        <v>14</v>
      </c>
      <c r="C16" s="7" t="s">
        <v>140</v>
      </c>
      <c r="D16" s="7" t="s">
        <v>5</v>
      </c>
      <c r="E16" s="7" t="s">
        <v>141</v>
      </c>
      <c r="F16" s="7" t="s">
        <v>143</v>
      </c>
      <c r="G16" s="7" t="s">
        <v>94</v>
      </c>
      <c r="H16" s="7" t="s">
        <v>72</v>
      </c>
      <c r="I16" s="7" t="s">
        <v>80</v>
      </c>
    </row>
    <row r="17" ht="42" customHeight="1" spans="1:9">
      <c r="A17" s="7" t="s">
        <v>146</v>
      </c>
      <c r="B17" s="7" t="s">
        <v>14</v>
      </c>
      <c r="C17" s="7" t="s">
        <v>147</v>
      </c>
      <c r="D17" s="7" t="s">
        <v>5</v>
      </c>
      <c r="E17" s="7" t="s">
        <v>148</v>
      </c>
      <c r="F17" s="7" t="s">
        <v>150</v>
      </c>
      <c r="G17" s="7" t="s">
        <v>94</v>
      </c>
      <c r="H17" s="7" t="s">
        <v>72</v>
      </c>
      <c r="I17" s="7" t="s">
        <v>80</v>
      </c>
    </row>
    <row r="18" ht="42" customHeight="1" spans="1:9">
      <c r="A18" s="7" t="s">
        <v>153</v>
      </c>
      <c r="B18" s="7" t="s">
        <v>14</v>
      </c>
      <c r="C18" s="7" t="s">
        <v>154</v>
      </c>
      <c r="D18" s="7" t="s">
        <v>5</v>
      </c>
      <c r="E18" s="7" t="s">
        <v>155</v>
      </c>
      <c r="F18" s="7" t="s">
        <v>157</v>
      </c>
      <c r="G18" s="7" t="s">
        <v>94</v>
      </c>
      <c r="H18" s="7" t="s">
        <v>72</v>
      </c>
      <c r="I18" s="7" t="s">
        <v>80</v>
      </c>
    </row>
    <row r="19" ht="42" customHeight="1" spans="1:9">
      <c r="A19" s="7" t="s">
        <v>160</v>
      </c>
      <c r="B19" s="7" t="s">
        <v>14</v>
      </c>
      <c r="C19" s="7" t="s">
        <v>161</v>
      </c>
      <c r="D19" s="7" t="s">
        <v>5</v>
      </c>
      <c r="E19" s="7" t="s">
        <v>155</v>
      </c>
      <c r="F19" s="7" t="s">
        <v>162</v>
      </c>
      <c r="G19" s="7" t="s">
        <v>94</v>
      </c>
      <c r="H19" s="7" t="s">
        <v>72</v>
      </c>
      <c r="I19" s="7" t="s">
        <v>80</v>
      </c>
    </row>
    <row r="20" ht="42" customHeight="1" spans="1:9">
      <c r="A20" s="7" t="s">
        <v>165</v>
      </c>
      <c r="B20" s="7" t="s">
        <v>14</v>
      </c>
      <c r="C20" s="7" t="s">
        <v>166</v>
      </c>
      <c r="D20" s="7" t="s">
        <v>5</v>
      </c>
      <c r="E20" s="7" t="s">
        <v>155</v>
      </c>
      <c r="F20" s="7" t="s">
        <v>167</v>
      </c>
      <c r="G20" s="7" t="s">
        <v>94</v>
      </c>
      <c r="H20" s="7" t="s">
        <v>72</v>
      </c>
      <c r="I20" s="7" t="s">
        <v>80</v>
      </c>
    </row>
    <row r="21" ht="42" customHeight="1" spans="1:9">
      <c r="A21" s="7" t="s">
        <v>170</v>
      </c>
      <c r="B21" s="7" t="s">
        <v>14</v>
      </c>
      <c r="C21" s="7" t="s">
        <v>171</v>
      </c>
      <c r="D21" s="7" t="s">
        <v>5</v>
      </c>
      <c r="E21" s="7" t="s">
        <v>155</v>
      </c>
      <c r="F21" s="7" t="s">
        <v>172</v>
      </c>
      <c r="G21" s="7" t="s">
        <v>94</v>
      </c>
      <c r="H21" s="7" t="s">
        <v>72</v>
      </c>
      <c r="I21" s="7" t="s">
        <v>80</v>
      </c>
    </row>
    <row r="22" ht="42" customHeight="1" spans="1:9">
      <c r="A22" s="7" t="s">
        <v>175</v>
      </c>
      <c r="B22" s="7" t="s">
        <v>14</v>
      </c>
      <c r="C22" s="7" t="s">
        <v>176</v>
      </c>
      <c r="D22" s="7" t="s">
        <v>4</v>
      </c>
      <c r="E22" s="7" t="s">
        <v>177</v>
      </c>
      <c r="F22" s="7" t="s">
        <v>179</v>
      </c>
      <c r="G22" s="7" t="s">
        <v>94</v>
      </c>
      <c r="H22" s="7" t="s">
        <v>72</v>
      </c>
      <c r="I22" s="7" t="s">
        <v>64</v>
      </c>
    </row>
  </sheetData>
  <mergeCells count="2">
    <mergeCell ref="A1:I1"/>
    <mergeCell ref="A2:I2"/>
  </mergeCells>
  <conditionalFormatting sqref="D5:D22">
    <cfRule type="containsText" dxfId="0" priority="1" operator="between" text="P0">
      <formula>NOT(ISERROR(SEARCH("P0",D5)))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showGridLines="0" workbookViewId="0">
      <selection activeCell="A1" sqref="A1:I1"/>
    </sheetView>
  </sheetViews>
  <sheetFormatPr defaultColWidth="9" defaultRowHeight="14" outlineLevelRow="6"/>
  <cols>
    <col min="1" max="1" width="38" customWidth="1"/>
    <col min="2" max="2" width="10" customWidth="1"/>
    <col min="3" max="3" width="24" customWidth="1"/>
    <col min="4" max="4" width="8" customWidth="1"/>
    <col min="5" max="5" width="18" customWidth="1"/>
    <col min="6" max="6" width="38" customWidth="1"/>
    <col min="7" max="7" width="30" customWidth="1"/>
    <col min="8" max="8" width="16" customWidth="1"/>
    <col min="9" max="9" width="34" customWidth="1"/>
  </cols>
  <sheetData>
    <row r="1" ht="30" customHeight="1" spans="1:9">
      <c r="A1" s="1" t="s">
        <v>693</v>
      </c>
      <c r="B1" s="1"/>
      <c r="C1" s="1"/>
      <c r="D1" s="1"/>
      <c r="E1" s="1"/>
      <c r="F1" s="1"/>
      <c r="G1" s="1"/>
      <c r="H1" s="1"/>
      <c r="I1" s="1"/>
    </row>
    <row r="2" ht="22" customHeight="1" spans="1:9">
      <c r="A2" s="2" t="s">
        <v>36</v>
      </c>
      <c r="B2" s="2"/>
      <c r="C2" s="2"/>
      <c r="D2" s="2"/>
      <c r="E2" s="2"/>
      <c r="F2" s="2"/>
      <c r="G2" s="2"/>
      <c r="H2" s="2"/>
      <c r="I2" s="2"/>
    </row>
    <row r="4" ht="30" customHeight="1" spans="1:9">
      <c r="A4" s="3" t="s">
        <v>37</v>
      </c>
      <c r="B4" s="4" t="s">
        <v>688</v>
      </c>
      <c r="C4" s="4" t="s">
        <v>38</v>
      </c>
      <c r="D4" s="4" t="s">
        <v>689</v>
      </c>
      <c r="E4" s="4" t="s">
        <v>40</v>
      </c>
      <c r="F4" s="4" t="s">
        <v>690</v>
      </c>
      <c r="G4" s="4" t="s">
        <v>691</v>
      </c>
      <c r="H4" s="4" t="s">
        <v>50</v>
      </c>
      <c r="I4" s="5" t="s">
        <v>692</v>
      </c>
    </row>
    <row r="5" ht="42" customHeight="1" spans="1:9">
      <c r="A5" s="6" t="s">
        <v>182</v>
      </c>
      <c r="B5" s="6" t="s">
        <v>17</v>
      </c>
      <c r="C5" s="6" t="s">
        <v>183</v>
      </c>
      <c r="D5" s="6" t="s">
        <v>4</v>
      </c>
      <c r="E5" s="6" t="s">
        <v>184</v>
      </c>
      <c r="F5" s="6" t="s">
        <v>186</v>
      </c>
      <c r="G5" s="6" t="s">
        <v>58</v>
      </c>
      <c r="H5" s="6" t="s">
        <v>189</v>
      </c>
      <c r="I5" s="6" t="s">
        <v>64</v>
      </c>
    </row>
    <row r="6" ht="42" customHeight="1" spans="1:9">
      <c r="A6" s="7" t="s">
        <v>190</v>
      </c>
      <c r="B6" s="7" t="s">
        <v>17</v>
      </c>
      <c r="C6" s="7" t="s">
        <v>191</v>
      </c>
      <c r="D6" s="7" t="s">
        <v>5</v>
      </c>
      <c r="E6" s="7" t="s">
        <v>192</v>
      </c>
      <c r="F6" s="7" t="s">
        <v>194</v>
      </c>
      <c r="G6" s="7" t="s">
        <v>58</v>
      </c>
      <c r="H6" s="7" t="s">
        <v>72</v>
      </c>
      <c r="I6" s="7" t="s">
        <v>80</v>
      </c>
    </row>
    <row r="7" ht="42" customHeight="1" spans="1:9">
      <c r="A7" s="7" t="s">
        <v>196</v>
      </c>
      <c r="B7" s="7" t="s">
        <v>17</v>
      </c>
      <c r="C7" s="7" t="s">
        <v>197</v>
      </c>
      <c r="D7" s="7" t="s">
        <v>5</v>
      </c>
      <c r="E7" s="7" t="s">
        <v>198</v>
      </c>
      <c r="F7" s="7" t="s">
        <v>200</v>
      </c>
      <c r="G7" s="7" t="s">
        <v>58</v>
      </c>
      <c r="H7" s="7" t="s">
        <v>72</v>
      </c>
      <c r="I7" s="7" t="s">
        <v>80</v>
      </c>
    </row>
  </sheetData>
  <mergeCells count="2">
    <mergeCell ref="A1:I1"/>
    <mergeCell ref="A2:I2"/>
  </mergeCells>
  <conditionalFormatting sqref="D5:D7">
    <cfRule type="containsText" dxfId="0" priority="1" operator="between" text="P0">
      <formula>NOT(ISERROR(SEARCH("P0",D5)))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showGridLines="0" workbookViewId="0">
      <selection activeCell="A1" sqref="A1:I1"/>
    </sheetView>
  </sheetViews>
  <sheetFormatPr defaultColWidth="9" defaultRowHeight="14"/>
  <cols>
    <col min="1" max="1" width="38" customWidth="1"/>
    <col min="2" max="2" width="10" customWidth="1"/>
    <col min="3" max="3" width="24" customWidth="1"/>
    <col min="4" max="4" width="8" customWidth="1"/>
    <col min="5" max="5" width="18" customWidth="1"/>
    <col min="6" max="6" width="38" customWidth="1"/>
    <col min="7" max="7" width="30" customWidth="1"/>
    <col min="8" max="8" width="16" customWidth="1"/>
    <col min="9" max="9" width="34" customWidth="1"/>
  </cols>
  <sheetData>
    <row r="1" ht="30" customHeight="1" spans="1:9">
      <c r="A1" s="1" t="s">
        <v>694</v>
      </c>
      <c r="B1" s="1"/>
      <c r="C1" s="1"/>
      <c r="D1" s="1"/>
      <c r="E1" s="1"/>
      <c r="F1" s="1"/>
      <c r="G1" s="1"/>
      <c r="H1" s="1"/>
      <c r="I1" s="1"/>
    </row>
    <row r="2" ht="22" customHeight="1" spans="1:9">
      <c r="A2" s="2" t="s">
        <v>36</v>
      </c>
      <c r="B2" s="2"/>
      <c r="C2" s="2"/>
      <c r="D2" s="2"/>
      <c r="E2" s="2"/>
      <c r="F2" s="2"/>
      <c r="G2" s="2"/>
      <c r="H2" s="2"/>
      <c r="I2" s="2"/>
    </row>
    <row r="4" ht="30" customHeight="1" spans="1:9">
      <c r="A4" s="3" t="s">
        <v>37</v>
      </c>
      <c r="B4" s="4" t="s">
        <v>688</v>
      </c>
      <c r="C4" s="4" t="s">
        <v>38</v>
      </c>
      <c r="D4" s="4" t="s">
        <v>689</v>
      </c>
      <c r="E4" s="4" t="s">
        <v>40</v>
      </c>
      <c r="F4" s="4" t="s">
        <v>690</v>
      </c>
      <c r="G4" s="4" t="s">
        <v>691</v>
      </c>
      <c r="H4" s="4" t="s">
        <v>50</v>
      </c>
      <c r="I4" s="5" t="s">
        <v>692</v>
      </c>
    </row>
    <row r="5" ht="42" customHeight="1" spans="1:9">
      <c r="A5" s="6" t="s">
        <v>202</v>
      </c>
      <c r="B5" s="6" t="s">
        <v>21</v>
      </c>
      <c r="C5" s="6" t="s">
        <v>203</v>
      </c>
      <c r="D5" s="6" t="s">
        <v>4</v>
      </c>
      <c r="E5" s="6" t="s">
        <v>204</v>
      </c>
      <c r="F5" s="6" t="s">
        <v>206</v>
      </c>
      <c r="G5" s="6" t="s">
        <v>58</v>
      </c>
      <c r="H5" s="6" t="s">
        <v>23</v>
      </c>
      <c r="I5" s="6" t="s">
        <v>64</v>
      </c>
    </row>
    <row r="6" ht="42" customHeight="1" spans="1:9">
      <c r="A6" s="7" t="s">
        <v>211</v>
      </c>
      <c r="B6" s="7" t="s">
        <v>21</v>
      </c>
      <c r="C6" s="7" t="s">
        <v>212</v>
      </c>
      <c r="D6" s="7" t="s">
        <v>4</v>
      </c>
      <c r="E6" s="7" t="s">
        <v>213</v>
      </c>
      <c r="F6" s="7" t="s">
        <v>215</v>
      </c>
      <c r="G6" s="7" t="s">
        <v>58</v>
      </c>
      <c r="H6" s="7" t="s">
        <v>23</v>
      </c>
      <c r="I6" s="7" t="s">
        <v>64</v>
      </c>
    </row>
    <row r="7" ht="42" customHeight="1" spans="1:9">
      <c r="A7" s="7" t="s">
        <v>218</v>
      </c>
      <c r="B7" s="7" t="s">
        <v>21</v>
      </c>
      <c r="C7" s="7" t="s">
        <v>219</v>
      </c>
      <c r="D7" s="7" t="s">
        <v>4</v>
      </c>
      <c r="E7" s="7" t="s">
        <v>220</v>
      </c>
      <c r="F7" s="7" t="s">
        <v>222</v>
      </c>
      <c r="G7" s="7" t="s">
        <v>58</v>
      </c>
      <c r="H7" s="7" t="s">
        <v>23</v>
      </c>
      <c r="I7" s="7" t="s">
        <v>64</v>
      </c>
    </row>
    <row r="8" ht="42" customHeight="1" spans="1:9">
      <c r="A8" s="7" t="s">
        <v>225</v>
      </c>
      <c r="B8" s="7" t="s">
        <v>21</v>
      </c>
      <c r="C8" s="7" t="s">
        <v>226</v>
      </c>
      <c r="D8" s="7" t="s">
        <v>5</v>
      </c>
      <c r="E8" s="7" t="s">
        <v>227</v>
      </c>
      <c r="F8" s="7" t="s">
        <v>229</v>
      </c>
      <c r="G8" s="7" t="s">
        <v>58</v>
      </c>
      <c r="H8" s="7" t="s">
        <v>23</v>
      </c>
      <c r="I8" s="7" t="s">
        <v>80</v>
      </c>
    </row>
    <row r="9" ht="42" customHeight="1" spans="1:9">
      <c r="A9" s="7" t="s">
        <v>232</v>
      </c>
      <c r="B9" s="7" t="s">
        <v>21</v>
      </c>
      <c r="C9" s="7" t="s">
        <v>233</v>
      </c>
      <c r="D9" s="7" t="s">
        <v>5</v>
      </c>
      <c r="E9" s="7" t="s">
        <v>108</v>
      </c>
      <c r="F9" s="7" t="s">
        <v>234</v>
      </c>
      <c r="G9" s="7" t="s">
        <v>58</v>
      </c>
      <c r="H9" s="7" t="s">
        <v>23</v>
      </c>
      <c r="I9" s="7" t="s">
        <v>80</v>
      </c>
    </row>
    <row r="10" ht="42" customHeight="1" spans="1:9">
      <c r="A10" s="7" t="s">
        <v>237</v>
      </c>
      <c r="B10" s="7" t="s">
        <v>21</v>
      </c>
      <c r="C10" s="7" t="s">
        <v>238</v>
      </c>
      <c r="D10" s="7" t="s">
        <v>5</v>
      </c>
      <c r="E10" s="7" t="s">
        <v>115</v>
      </c>
      <c r="F10" s="7" t="s">
        <v>239</v>
      </c>
      <c r="G10" s="7" t="s">
        <v>58</v>
      </c>
      <c r="H10" s="7" t="s">
        <v>23</v>
      </c>
      <c r="I10" s="7" t="s">
        <v>80</v>
      </c>
    </row>
    <row r="11" ht="42" customHeight="1" spans="1:9">
      <c r="A11" s="7" t="s">
        <v>242</v>
      </c>
      <c r="B11" s="7" t="s">
        <v>21</v>
      </c>
      <c r="C11" s="7" t="s">
        <v>243</v>
      </c>
      <c r="D11" s="7" t="s">
        <v>5</v>
      </c>
      <c r="E11" s="7" t="s">
        <v>83</v>
      </c>
      <c r="F11" s="7" t="s">
        <v>244</v>
      </c>
      <c r="G11" s="7" t="s">
        <v>58</v>
      </c>
      <c r="H11" s="7" t="s">
        <v>23</v>
      </c>
      <c r="I11" s="7" t="s">
        <v>80</v>
      </c>
    </row>
    <row r="12" ht="42" customHeight="1" spans="1:9">
      <c r="A12" s="7" t="s">
        <v>247</v>
      </c>
      <c r="B12" s="7" t="s">
        <v>21</v>
      </c>
      <c r="C12" s="7" t="s">
        <v>248</v>
      </c>
      <c r="D12" s="7" t="s">
        <v>5</v>
      </c>
      <c r="E12" s="7" t="s">
        <v>249</v>
      </c>
      <c r="F12" s="7" t="s">
        <v>251</v>
      </c>
      <c r="G12" s="7" t="s">
        <v>58</v>
      </c>
      <c r="H12" s="7" t="s">
        <v>23</v>
      </c>
      <c r="I12" s="7" t="s">
        <v>80</v>
      </c>
    </row>
    <row r="13" ht="42" customHeight="1" spans="1:9">
      <c r="A13" s="7" t="s">
        <v>254</v>
      </c>
      <c r="B13" s="7" t="s">
        <v>21</v>
      </c>
      <c r="C13" s="7" t="s">
        <v>255</v>
      </c>
      <c r="D13" s="7" t="s">
        <v>5</v>
      </c>
      <c r="E13" s="7" t="s">
        <v>148</v>
      </c>
      <c r="F13" s="7" t="s">
        <v>256</v>
      </c>
      <c r="G13" s="7" t="s">
        <v>58</v>
      </c>
      <c r="H13" s="7" t="s">
        <v>23</v>
      </c>
      <c r="I13" s="7" t="s">
        <v>80</v>
      </c>
    </row>
    <row r="14" ht="42" customHeight="1" spans="1:9">
      <c r="A14" s="7" t="s">
        <v>259</v>
      </c>
      <c r="B14" s="7" t="s">
        <v>21</v>
      </c>
      <c r="C14" s="7" t="s">
        <v>260</v>
      </c>
      <c r="D14" s="7" t="s">
        <v>5</v>
      </c>
      <c r="E14" s="7" t="s">
        <v>148</v>
      </c>
      <c r="F14" s="7" t="s">
        <v>261</v>
      </c>
      <c r="G14" s="7" t="s">
        <v>58</v>
      </c>
      <c r="H14" s="7" t="s">
        <v>23</v>
      </c>
      <c r="I14" s="7" t="s">
        <v>80</v>
      </c>
    </row>
    <row r="15" ht="42" customHeight="1" spans="1:9">
      <c r="A15" s="7" t="s">
        <v>264</v>
      </c>
      <c r="B15" s="7" t="s">
        <v>21</v>
      </c>
      <c r="C15" s="7" t="s">
        <v>265</v>
      </c>
      <c r="D15" s="7" t="s">
        <v>266</v>
      </c>
      <c r="E15" s="7" t="s">
        <v>148</v>
      </c>
      <c r="F15" s="7" t="s">
        <v>267</v>
      </c>
      <c r="G15" s="7" t="s">
        <v>58</v>
      </c>
      <c r="H15" s="7" t="s">
        <v>23</v>
      </c>
      <c r="I15" s="7" t="s">
        <v>270</v>
      </c>
    </row>
    <row r="16" ht="42" customHeight="1" spans="1:9">
      <c r="A16" s="7" t="s">
        <v>271</v>
      </c>
      <c r="B16" s="7" t="s">
        <v>21</v>
      </c>
      <c r="C16" s="7" t="s">
        <v>272</v>
      </c>
      <c r="D16" s="7" t="s">
        <v>4</v>
      </c>
      <c r="E16" s="7" t="s">
        <v>177</v>
      </c>
      <c r="F16" s="7" t="s">
        <v>273</v>
      </c>
      <c r="G16" s="7" t="s">
        <v>58</v>
      </c>
      <c r="H16" s="7" t="s">
        <v>23</v>
      </c>
      <c r="I16" s="7" t="s">
        <v>64</v>
      </c>
    </row>
    <row r="17" ht="42" customHeight="1" spans="1:9">
      <c r="A17" s="7" t="s">
        <v>276</v>
      </c>
      <c r="B17" s="7" t="s">
        <v>21</v>
      </c>
      <c r="C17" s="7" t="s">
        <v>277</v>
      </c>
      <c r="D17" s="7" t="s">
        <v>266</v>
      </c>
      <c r="E17" s="7" t="s">
        <v>155</v>
      </c>
      <c r="F17" s="7" t="s">
        <v>278</v>
      </c>
      <c r="G17" s="7" t="s">
        <v>58</v>
      </c>
      <c r="H17" s="7" t="s">
        <v>23</v>
      </c>
      <c r="I17" s="7" t="s">
        <v>270</v>
      </c>
    </row>
  </sheetData>
  <mergeCells count="2">
    <mergeCell ref="A1:I1"/>
    <mergeCell ref="A2:I2"/>
  </mergeCells>
  <conditionalFormatting sqref="D5:D17">
    <cfRule type="containsText" dxfId="0" priority="1" operator="between" text="P0">
      <formula>NOT(ISERROR(SEARCH("P0",D5)))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showGridLines="0" workbookViewId="0">
      <selection activeCell="A1" sqref="A1:I1"/>
    </sheetView>
  </sheetViews>
  <sheetFormatPr defaultColWidth="9" defaultRowHeight="14"/>
  <cols>
    <col min="1" max="1" width="38" customWidth="1"/>
    <col min="2" max="2" width="10" customWidth="1"/>
    <col min="3" max="3" width="24" customWidth="1"/>
    <col min="4" max="4" width="8" customWidth="1"/>
    <col min="5" max="5" width="18" customWidth="1"/>
    <col min="6" max="6" width="38" customWidth="1"/>
    <col min="7" max="7" width="30" customWidth="1"/>
    <col min="8" max="8" width="16" customWidth="1"/>
    <col min="9" max="9" width="34" customWidth="1"/>
  </cols>
  <sheetData>
    <row r="1" ht="30" customHeight="1" spans="1:9">
      <c r="A1" s="1" t="s">
        <v>695</v>
      </c>
      <c r="B1" s="1"/>
      <c r="C1" s="1"/>
      <c r="D1" s="1"/>
      <c r="E1" s="1"/>
      <c r="F1" s="1"/>
      <c r="G1" s="1"/>
      <c r="H1" s="1"/>
      <c r="I1" s="1"/>
    </row>
    <row r="2" ht="22" customHeight="1" spans="1:9">
      <c r="A2" s="2" t="s">
        <v>36</v>
      </c>
      <c r="B2" s="2"/>
      <c r="C2" s="2"/>
      <c r="D2" s="2"/>
      <c r="E2" s="2"/>
      <c r="F2" s="2"/>
      <c r="G2" s="2"/>
      <c r="H2" s="2"/>
      <c r="I2" s="2"/>
    </row>
    <row r="4" ht="30" customHeight="1" spans="1:9">
      <c r="A4" s="3" t="s">
        <v>37</v>
      </c>
      <c r="B4" s="4" t="s">
        <v>688</v>
      </c>
      <c r="C4" s="4" t="s">
        <v>38</v>
      </c>
      <c r="D4" s="4" t="s">
        <v>689</v>
      </c>
      <c r="E4" s="4" t="s">
        <v>40</v>
      </c>
      <c r="F4" s="4" t="s">
        <v>690</v>
      </c>
      <c r="G4" s="4" t="s">
        <v>691</v>
      </c>
      <c r="H4" s="4" t="s">
        <v>50</v>
      </c>
      <c r="I4" s="5" t="s">
        <v>692</v>
      </c>
    </row>
    <row r="5" ht="42" customHeight="1" spans="1:9">
      <c r="A5" s="6" t="s">
        <v>281</v>
      </c>
      <c r="B5" s="6" t="s">
        <v>25</v>
      </c>
      <c r="C5" s="6" t="s">
        <v>282</v>
      </c>
      <c r="D5" s="6" t="s">
        <v>4</v>
      </c>
      <c r="E5" s="6" t="s">
        <v>204</v>
      </c>
      <c r="F5" s="6" t="s">
        <v>283</v>
      </c>
      <c r="G5" s="6" t="s">
        <v>285</v>
      </c>
      <c r="H5" s="6" t="s">
        <v>72</v>
      </c>
      <c r="I5" s="6" t="s">
        <v>64</v>
      </c>
    </row>
    <row r="6" ht="42" customHeight="1" spans="1:9">
      <c r="A6" s="7" t="s">
        <v>289</v>
      </c>
      <c r="B6" s="7" t="s">
        <v>25</v>
      </c>
      <c r="C6" s="7" t="s">
        <v>290</v>
      </c>
      <c r="D6" s="7" t="s">
        <v>4</v>
      </c>
      <c r="E6" s="7" t="s">
        <v>291</v>
      </c>
      <c r="F6" s="7" t="s">
        <v>293</v>
      </c>
      <c r="G6" s="7" t="s">
        <v>285</v>
      </c>
      <c r="H6" s="7" t="s">
        <v>72</v>
      </c>
      <c r="I6" s="7" t="s">
        <v>64</v>
      </c>
    </row>
    <row r="7" ht="42" customHeight="1" spans="1:9">
      <c r="A7" s="7" t="s">
        <v>296</v>
      </c>
      <c r="B7" s="7" t="s">
        <v>25</v>
      </c>
      <c r="C7" s="7" t="s">
        <v>297</v>
      </c>
      <c r="D7" s="7" t="s">
        <v>4</v>
      </c>
      <c r="E7" s="7" t="s">
        <v>298</v>
      </c>
      <c r="F7" s="7" t="s">
        <v>300</v>
      </c>
      <c r="G7" s="7" t="s">
        <v>285</v>
      </c>
      <c r="H7" s="7" t="s">
        <v>72</v>
      </c>
      <c r="I7" s="7" t="s">
        <v>64</v>
      </c>
    </row>
    <row r="8" ht="42" customHeight="1" spans="1:9">
      <c r="A8" s="7" t="s">
        <v>303</v>
      </c>
      <c r="B8" s="7" t="s">
        <v>25</v>
      </c>
      <c r="C8" s="7" t="s">
        <v>304</v>
      </c>
      <c r="D8" s="7" t="s">
        <v>4</v>
      </c>
      <c r="E8" s="7" t="s">
        <v>305</v>
      </c>
      <c r="F8" s="7" t="s">
        <v>307</v>
      </c>
      <c r="G8" s="7" t="s">
        <v>285</v>
      </c>
      <c r="H8" s="7" t="s">
        <v>72</v>
      </c>
      <c r="I8" s="7" t="s">
        <v>64</v>
      </c>
    </row>
    <row r="9" ht="42" customHeight="1" spans="1:9">
      <c r="A9" s="7" t="s">
        <v>310</v>
      </c>
      <c r="B9" s="7" t="s">
        <v>25</v>
      </c>
      <c r="C9" s="7" t="s">
        <v>311</v>
      </c>
      <c r="D9" s="7" t="s">
        <v>5</v>
      </c>
      <c r="E9" s="7" t="s">
        <v>227</v>
      </c>
      <c r="F9" s="7" t="s">
        <v>312</v>
      </c>
      <c r="G9" s="7" t="s">
        <v>285</v>
      </c>
      <c r="H9" s="7" t="s">
        <v>72</v>
      </c>
      <c r="I9" s="7" t="s">
        <v>80</v>
      </c>
    </row>
    <row r="10" ht="42" customHeight="1" spans="1:9">
      <c r="A10" s="7" t="s">
        <v>315</v>
      </c>
      <c r="B10" s="7" t="s">
        <v>25</v>
      </c>
      <c r="C10" s="7" t="s">
        <v>316</v>
      </c>
      <c r="D10" s="7" t="s">
        <v>5</v>
      </c>
      <c r="E10" s="7" t="s">
        <v>108</v>
      </c>
      <c r="F10" s="7" t="s">
        <v>317</v>
      </c>
      <c r="G10" s="7" t="s">
        <v>285</v>
      </c>
      <c r="H10" s="7" t="s">
        <v>72</v>
      </c>
      <c r="I10" s="7" t="s">
        <v>80</v>
      </c>
    </row>
    <row r="11" ht="42" customHeight="1" spans="1:9">
      <c r="A11" s="7" t="s">
        <v>320</v>
      </c>
      <c r="B11" s="7" t="s">
        <v>25</v>
      </c>
      <c r="C11" s="7" t="s">
        <v>321</v>
      </c>
      <c r="D11" s="7" t="s">
        <v>5</v>
      </c>
      <c r="E11" s="7" t="s">
        <v>115</v>
      </c>
      <c r="F11" s="7" t="s">
        <v>322</v>
      </c>
      <c r="G11" s="7" t="s">
        <v>285</v>
      </c>
      <c r="H11" s="7" t="s">
        <v>72</v>
      </c>
      <c r="I11" s="7" t="s">
        <v>80</v>
      </c>
    </row>
    <row r="12" ht="42" customHeight="1" spans="1:9">
      <c r="A12" s="7" t="s">
        <v>325</v>
      </c>
      <c r="B12" s="7" t="s">
        <v>25</v>
      </c>
      <c r="C12" s="7" t="s">
        <v>326</v>
      </c>
      <c r="D12" s="7" t="s">
        <v>5</v>
      </c>
      <c r="E12" s="7" t="s">
        <v>249</v>
      </c>
      <c r="F12" s="7" t="s">
        <v>327</v>
      </c>
      <c r="G12" s="7" t="s">
        <v>285</v>
      </c>
      <c r="H12" s="7" t="s">
        <v>72</v>
      </c>
      <c r="I12" s="7" t="s">
        <v>80</v>
      </c>
    </row>
    <row r="13" ht="42" customHeight="1" spans="1:9">
      <c r="A13" s="7" t="s">
        <v>330</v>
      </c>
      <c r="B13" s="7" t="s">
        <v>25</v>
      </c>
      <c r="C13" s="7" t="s">
        <v>331</v>
      </c>
      <c r="D13" s="7" t="s">
        <v>5</v>
      </c>
      <c r="E13" s="7" t="s">
        <v>148</v>
      </c>
      <c r="F13" s="7" t="s">
        <v>332</v>
      </c>
      <c r="G13" s="7" t="s">
        <v>285</v>
      </c>
      <c r="H13" s="7" t="s">
        <v>72</v>
      </c>
      <c r="I13" s="7" t="s">
        <v>80</v>
      </c>
    </row>
    <row r="14" ht="42" customHeight="1" spans="1:9">
      <c r="A14" s="7" t="s">
        <v>335</v>
      </c>
      <c r="B14" s="7" t="s">
        <v>25</v>
      </c>
      <c r="C14" s="7" t="s">
        <v>336</v>
      </c>
      <c r="D14" s="7" t="s">
        <v>4</v>
      </c>
      <c r="E14" s="7" t="s">
        <v>177</v>
      </c>
      <c r="F14" s="7" t="s">
        <v>337</v>
      </c>
      <c r="G14" s="7" t="s">
        <v>285</v>
      </c>
      <c r="H14" s="7" t="s">
        <v>72</v>
      </c>
      <c r="I14" s="7" t="s">
        <v>64</v>
      </c>
    </row>
  </sheetData>
  <mergeCells count="2">
    <mergeCell ref="A1:I1"/>
    <mergeCell ref="A2:I2"/>
  </mergeCells>
  <conditionalFormatting sqref="D5:D14">
    <cfRule type="containsText" dxfId="0" priority="1" operator="between" text="P0">
      <formula>NOT(ISERROR(SEARCH("P0",D5)))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showGridLines="0" workbookViewId="0">
      <selection activeCell="A1" sqref="A1:I1"/>
    </sheetView>
  </sheetViews>
  <sheetFormatPr defaultColWidth="9" defaultRowHeight="14"/>
  <cols>
    <col min="1" max="1" width="38" customWidth="1"/>
    <col min="2" max="2" width="10" customWidth="1"/>
    <col min="3" max="3" width="24" customWidth="1"/>
    <col min="4" max="4" width="8" customWidth="1"/>
    <col min="5" max="5" width="18" customWidth="1"/>
    <col min="6" max="6" width="38" customWidth="1"/>
    <col min="7" max="7" width="30" customWidth="1"/>
    <col min="8" max="8" width="16" customWidth="1"/>
    <col min="9" max="9" width="34" customWidth="1"/>
  </cols>
  <sheetData>
    <row r="1" ht="30" customHeight="1" spans="1:9">
      <c r="A1" s="1" t="s">
        <v>696</v>
      </c>
      <c r="B1" s="1"/>
      <c r="C1" s="1"/>
      <c r="D1" s="1"/>
      <c r="E1" s="1"/>
      <c r="F1" s="1"/>
      <c r="G1" s="1"/>
      <c r="H1" s="1"/>
      <c r="I1" s="1"/>
    </row>
    <row r="2" ht="22" customHeight="1" spans="1:9">
      <c r="A2" s="2" t="s">
        <v>36</v>
      </c>
      <c r="B2" s="2"/>
      <c r="C2" s="2"/>
      <c r="D2" s="2"/>
      <c r="E2" s="2"/>
      <c r="F2" s="2"/>
      <c r="G2" s="2"/>
      <c r="H2" s="2"/>
      <c r="I2" s="2"/>
    </row>
    <row r="4" ht="30" customHeight="1" spans="1:9">
      <c r="A4" s="3" t="s">
        <v>37</v>
      </c>
      <c r="B4" s="4" t="s">
        <v>688</v>
      </c>
      <c r="C4" s="4" t="s">
        <v>38</v>
      </c>
      <c r="D4" s="4" t="s">
        <v>689</v>
      </c>
      <c r="E4" s="4" t="s">
        <v>40</v>
      </c>
      <c r="F4" s="4" t="s">
        <v>690</v>
      </c>
      <c r="G4" s="4" t="s">
        <v>691</v>
      </c>
      <c r="H4" s="4" t="s">
        <v>50</v>
      </c>
      <c r="I4" s="5" t="s">
        <v>692</v>
      </c>
    </row>
    <row r="5" ht="42" customHeight="1" spans="1:9">
      <c r="A5" s="6" t="s">
        <v>340</v>
      </c>
      <c r="B5" s="6" t="s">
        <v>29</v>
      </c>
      <c r="C5" s="6" t="s">
        <v>341</v>
      </c>
      <c r="D5" s="6" t="s">
        <v>4</v>
      </c>
      <c r="E5" s="6" t="s">
        <v>342</v>
      </c>
      <c r="F5" s="6" t="s">
        <v>344</v>
      </c>
      <c r="G5" s="6" t="s">
        <v>58</v>
      </c>
      <c r="H5" s="6" t="s">
        <v>63</v>
      </c>
      <c r="I5" s="6" t="s">
        <v>64</v>
      </c>
    </row>
    <row r="6" ht="42" customHeight="1" spans="1:9">
      <c r="A6" s="7" t="s">
        <v>349</v>
      </c>
      <c r="B6" s="7" t="s">
        <v>29</v>
      </c>
      <c r="C6" s="7" t="s">
        <v>350</v>
      </c>
      <c r="D6" s="7" t="s">
        <v>5</v>
      </c>
      <c r="E6" s="7" t="s">
        <v>351</v>
      </c>
      <c r="F6" s="7" t="s">
        <v>353</v>
      </c>
      <c r="G6" s="7" t="s">
        <v>58</v>
      </c>
      <c r="H6" s="7" t="s">
        <v>72</v>
      </c>
      <c r="I6" s="7" t="s">
        <v>80</v>
      </c>
    </row>
    <row r="7" ht="42" customHeight="1" spans="1:9">
      <c r="A7" s="7" t="s">
        <v>356</v>
      </c>
      <c r="B7" s="7" t="s">
        <v>29</v>
      </c>
      <c r="C7" s="7" t="s">
        <v>357</v>
      </c>
      <c r="D7" s="7" t="s">
        <v>4</v>
      </c>
      <c r="E7" s="7" t="s">
        <v>358</v>
      </c>
      <c r="F7" s="7" t="s">
        <v>360</v>
      </c>
      <c r="G7" s="7" t="s">
        <v>58</v>
      </c>
      <c r="H7" s="7" t="s">
        <v>63</v>
      </c>
      <c r="I7" s="7" t="s">
        <v>64</v>
      </c>
    </row>
    <row r="8" ht="42" customHeight="1" spans="1:9">
      <c r="A8" s="7" t="s">
        <v>363</v>
      </c>
      <c r="B8" s="7" t="s">
        <v>29</v>
      </c>
      <c r="C8" s="7" t="s">
        <v>364</v>
      </c>
      <c r="D8" s="7" t="s">
        <v>5</v>
      </c>
      <c r="E8" s="7" t="s">
        <v>365</v>
      </c>
      <c r="F8" s="7" t="s">
        <v>367</v>
      </c>
      <c r="G8" s="7" t="s">
        <v>58</v>
      </c>
      <c r="H8" s="7" t="s">
        <v>72</v>
      </c>
      <c r="I8" s="7" t="s">
        <v>80</v>
      </c>
    </row>
    <row r="9" ht="42" customHeight="1" spans="1:9">
      <c r="A9" s="7" t="s">
        <v>370</v>
      </c>
      <c r="B9" s="7" t="s">
        <v>29</v>
      </c>
      <c r="C9" s="7" t="s">
        <v>371</v>
      </c>
      <c r="D9" s="7" t="s">
        <v>5</v>
      </c>
      <c r="E9" s="7" t="s">
        <v>372</v>
      </c>
      <c r="F9" s="7" t="s">
        <v>374</v>
      </c>
      <c r="G9" s="7" t="s">
        <v>58</v>
      </c>
      <c r="H9" s="7" t="s">
        <v>72</v>
      </c>
      <c r="I9" s="7" t="s">
        <v>80</v>
      </c>
    </row>
    <row r="10" ht="42" customHeight="1" spans="1:9">
      <c r="A10" s="7" t="s">
        <v>377</v>
      </c>
      <c r="B10" s="7" t="s">
        <v>29</v>
      </c>
      <c r="C10" s="7" t="s">
        <v>378</v>
      </c>
      <c r="D10" s="7" t="s">
        <v>5</v>
      </c>
      <c r="E10" s="7" t="s">
        <v>141</v>
      </c>
      <c r="F10" s="7" t="s">
        <v>379</v>
      </c>
      <c r="G10" s="7" t="s">
        <v>58</v>
      </c>
      <c r="H10" s="7" t="s">
        <v>72</v>
      </c>
      <c r="I10" s="7" t="s">
        <v>80</v>
      </c>
    </row>
    <row r="11" ht="42" customHeight="1" spans="1:9">
      <c r="A11" s="7" t="s">
        <v>382</v>
      </c>
      <c r="B11" s="7" t="s">
        <v>29</v>
      </c>
      <c r="C11" s="7" t="s">
        <v>383</v>
      </c>
      <c r="D11" s="7" t="s">
        <v>5</v>
      </c>
      <c r="E11" s="7" t="s">
        <v>141</v>
      </c>
      <c r="F11" s="7" t="s">
        <v>384</v>
      </c>
      <c r="G11" s="7" t="s">
        <v>58</v>
      </c>
      <c r="H11" s="7" t="s">
        <v>72</v>
      </c>
      <c r="I11" s="7" t="s">
        <v>80</v>
      </c>
    </row>
    <row r="12" ht="42" customHeight="1" spans="1:9">
      <c r="A12" s="7" t="s">
        <v>387</v>
      </c>
      <c r="B12" s="7" t="s">
        <v>29</v>
      </c>
      <c r="C12" s="7" t="s">
        <v>388</v>
      </c>
      <c r="D12" s="7" t="s">
        <v>5</v>
      </c>
      <c r="E12" s="7" t="s">
        <v>141</v>
      </c>
      <c r="F12" s="7" t="s">
        <v>389</v>
      </c>
      <c r="G12" s="7" t="s">
        <v>58</v>
      </c>
      <c r="H12" s="7" t="s">
        <v>72</v>
      </c>
      <c r="I12" s="7" t="s">
        <v>80</v>
      </c>
    </row>
    <row r="13" ht="42" customHeight="1" spans="1:9">
      <c r="A13" s="7" t="s">
        <v>392</v>
      </c>
      <c r="B13" s="7" t="s">
        <v>29</v>
      </c>
      <c r="C13" s="7" t="s">
        <v>393</v>
      </c>
      <c r="D13" s="7" t="s">
        <v>5</v>
      </c>
      <c r="E13" s="7" t="s">
        <v>155</v>
      </c>
      <c r="F13" s="7" t="s">
        <v>394</v>
      </c>
      <c r="G13" s="7" t="s">
        <v>58</v>
      </c>
      <c r="H13" s="7" t="s">
        <v>72</v>
      </c>
      <c r="I13" s="7" t="s">
        <v>80</v>
      </c>
    </row>
    <row r="14" ht="42" customHeight="1" spans="1:9">
      <c r="A14" s="7" t="s">
        <v>397</v>
      </c>
      <c r="B14" s="7" t="s">
        <v>29</v>
      </c>
      <c r="C14" s="7" t="s">
        <v>398</v>
      </c>
      <c r="D14" s="7" t="s">
        <v>266</v>
      </c>
      <c r="E14" s="7" t="s">
        <v>155</v>
      </c>
      <c r="F14" s="7" t="s">
        <v>399</v>
      </c>
      <c r="G14" s="7" t="s">
        <v>58</v>
      </c>
      <c r="H14" s="7" t="s">
        <v>72</v>
      </c>
      <c r="I14" s="7" t="s">
        <v>270</v>
      </c>
    </row>
  </sheetData>
  <mergeCells count="2">
    <mergeCell ref="A1:I1"/>
    <mergeCell ref="A2:I2"/>
  </mergeCells>
  <conditionalFormatting sqref="D5:D14">
    <cfRule type="containsText" dxfId="0" priority="1" operator="between" text="P0">
      <formula>NOT(ISERROR(SEARCH("P0",D5)))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showGridLines="0" workbookViewId="0">
      <selection activeCell="A1" sqref="A1:I1"/>
    </sheetView>
  </sheetViews>
  <sheetFormatPr defaultColWidth="9" defaultRowHeight="14"/>
  <cols>
    <col min="1" max="1" width="38" customWidth="1"/>
    <col min="2" max="2" width="10" customWidth="1"/>
    <col min="3" max="3" width="24" customWidth="1"/>
    <col min="4" max="4" width="8" customWidth="1"/>
    <col min="5" max="5" width="18" customWidth="1"/>
    <col min="6" max="6" width="38" customWidth="1"/>
    <col min="7" max="7" width="30" customWidth="1"/>
    <col min="8" max="8" width="16" customWidth="1"/>
    <col min="9" max="9" width="34" customWidth="1"/>
  </cols>
  <sheetData>
    <row r="1" ht="30" customHeight="1" spans="1:9">
      <c r="A1" s="1" t="s">
        <v>697</v>
      </c>
      <c r="B1" s="1"/>
      <c r="C1" s="1"/>
      <c r="D1" s="1"/>
      <c r="E1" s="1"/>
      <c r="F1" s="1"/>
      <c r="G1" s="1"/>
      <c r="H1" s="1"/>
      <c r="I1" s="1"/>
    </row>
    <row r="2" ht="22" customHeight="1" spans="1:9">
      <c r="A2" s="2" t="s">
        <v>36</v>
      </c>
      <c r="B2" s="2"/>
      <c r="C2" s="2"/>
      <c r="D2" s="2"/>
      <c r="E2" s="2"/>
      <c r="F2" s="2"/>
      <c r="G2" s="2"/>
      <c r="H2" s="2"/>
      <c r="I2" s="2"/>
    </row>
    <row r="4" ht="30" customHeight="1" spans="1:9">
      <c r="A4" s="3" t="s">
        <v>37</v>
      </c>
      <c r="B4" s="4" t="s">
        <v>688</v>
      </c>
      <c r="C4" s="4" t="s">
        <v>38</v>
      </c>
      <c r="D4" s="4" t="s">
        <v>689</v>
      </c>
      <c r="E4" s="4" t="s">
        <v>40</v>
      </c>
      <c r="F4" s="4" t="s">
        <v>690</v>
      </c>
      <c r="G4" s="4" t="s">
        <v>691</v>
      </c>
      <c r="H4" s="4" t="s">
        <v>50</v>
      </c>
      <c r="I4" s="5" t="s">
        <v>692</v>
      </c>
    </row>
    <row r="5" ht="42" customHeight="1" spans="1:9">
      <c r="A5" s="6" t="s">
        <v>402</v>
      </c>
      <c r="B5" s="6" t="s">
        <v>30</v>
      </c>
      <c r="C5" s="6" t="s">
        <v>403</v>
      </c>
      <c r="D5" s="6" t="s">
        <v>4</v>
      </c>
      <c r="E5" s="6" t="s">
        <v>404</v>
      </c>
      <c r="F5" s="6" t="s">
        <v>406</v>
      </c>
      <c r="G5" s="6" t="s">
        <v>58</v>
      </c>
      <c r="H5" s="6" t="s">
        <v>72</v>
      </c>
      <c r="I5" s="6" t="s">
        <v>64</v>
      </c>
    </row>
    <row r="6" ht="42" customHeight="1" spans="1:9">
      <c r="A6" s="7" t="s">
        <v>411</v>
      </c>
      <c r="B6" s="7" t="s">
        <v>30</v>
      </c>
      <c r="C6" s="7" t="s">
        <v>412</v>
      </c>
      <c r="D6" s="7" t="s">
        <v>4</v>
      </c>
      <c r="E6" s="7" t="s">
        <v>413</v>
      </c>
      <c r="F6" s="7" t="s">
        <v>415</v>
      </c>
      <c r="G6" s="7" t="s">
        <v>58</v>
      </c>
      <c r="H6" s="7" t="s">
        <v>72</v>
      </c>
      <c r="I6" s="7" t="s">
        <v>64</v>
      </c>
    </row>
    <row r="7" ht="42" customHeight="1" spans="1:9">
      <c r="A7" s="7" t="s">
        <v>418</v>
      </c>
      <c r="B7" s="7" t="s">
        <v>30</v>
      </c>
      <c r="C7" s="7" t="s">
        <v>419</v>
      </c>
      <c r="D7" s="7" t="s">
        <v>4</v>
      </c>
      <c r="E7" s="7" t="s">
        <v>420</v>
      </c>
      <c r="F7" s="7" t="s">
        <v>422</v>
      </c>
      <c r="G7" s="7" t="s">
        <v>58</v>
      </c>
      <c r="H7" s="7" t="s">
        <v>72</v>
      </c>
      <c r="I7" s="7" t="s">
        <v>64</v>
      </c>
    </row>
    <row r="8" ht="42" customHeight="1" spans="1:9">
      <c r="A8" s="7" t="s">
        <v>425</v>
      </c>
      <c r="B8" s="7" t="s">
        <v>30</v>
      </c>
      <c r="C8" s="7" t="s">
        <v>426</v>
      </c>
      <c r="D8" s="7" t="s">
        <v>4</v>
      </c>
      <c r="E8" s="7" t="s">
        <v>427</v>
      </c>
      <c r="F8" s="7" t="s">
        <v>429</v>
      </c>
      <c r="G8" s="7" t="s">
        <v>58</v>
      </c>
      <c r="H8" s="7" t="s">
        <v>72</v>
      </c>
      <c r="I8" s="7" t="s">
        <v>64</v>
      </c>
    </row>
    <row r="9" ht="42" customHeight="1" spans="1:9">
      <c r="A9" s="7" t="s">
        <v>432</v>
      </c>
      <c r="B9" s="7" t="s">
        <v>30</v>
      </c>
      <c r="C9" s="7" t="s">
        <v>433</v>
      </c>
      <c r="D9" s="7" t="s">
        <v>5</v>
      </c>
      <c r="E9" s="7" t="s">
        <v>434</v>
      </c>
      <c r="F9" s="7" t="s">
        <v>436</v>
      </c>
      <c r="G9" s="7" t="s">
        <v>58</v>
      </c>
      <c r="H9" s="7" t="s">
        <v>72</v>
      </c>
      <c r="I9" s="7" t="s">
        <v>80</v>
      </c>
    </row>
    <row r="10" ht="42" customHeight="1" spans="1:9">
      <c r="A10" s="7" t="s">
        <v>439</v>
      </c>
      <c r="B10" s="7" t="s">
        <v>30</v>
      </c>
      <c r="C10" s="7" t="s">
        <v>440</v>
      </c>
      <c r="D10" s="7" t="s">
        <v>5</v>
      </c>
      <c r="E10" s="7" t="s">
        <v>127</v>
      </c>
      <c r="F10" s="7" t="s">
        <v>441</v>
      </c>
      <c r="G10" s="7" t="s">
        <v>58</v>
      </c>
      <c r="H10" s="7" t="s">
        <v>72</v>
      </c>
      <c r="I10" s="7" t="s">
        <v>80</v>
      </c>
    </row>
    <row r="11" ht="42" customHeight="1" spans="1:9">
      <c r="A11" s="7" t="s">
        <v>444</v>
      </c>
      <c r="B11" s="7" t="s">
        <v>30</v>
      </c>
      <c r="C11" s="7" t="s">
        <v>445</v>
      </c>
      <c r="D11" s="7" t="s">
        <v>5</v>
      </c>
      <c r="E11" s="7" t="s">
        <v>148</v>
      </c>
      <c r="F11" s="7" t="s">
        <v>446</v>
      </c>
      <c r="G11" s="7" t="s">
        <v>58</v>
      </c>
      <c r="H11" s="7" t="s">
        <v>72</v>
      </c>
      <c r="I11" s="7" t="s">
        <v>80</v>
      </c>
    </row>
    <row r="12" ht="42" customHeight="1" spans="1:9">
      <c r="A12" s="7" t="s">
        <v>449</v>
      </c>
      <c r="B12" s="7" t="s">
        <v>30</v>
      </c>
      <c r="C12" s="7" t="s">
        <v>450</v>
      </c>
      <c r="D12" s="7" t="s">
        <v>5</v>
      </c>
      <c r="E12" s="7" t="s">
        <v>155</v>
      </c>
      <c r="F12" s="7" t="s">
        <v>451</v>
      </c>
      <c r="G12" s="7" t="s">
        <v>58</v>
      </c>
      <c r="H12" s="7" t="s">
        <v>72</v>
      </c>
      <c r="I12" s="7" t="s">
        <v>80</v>
      </c>
    </row>
    <row r="13" ht="42" customHeight="1" spans="1:9">
      <c r="A13" s="7" t="s">
        <v>454</v>
      </c>
      <c r="B13" s="7" t="s">
        <v>30</v>
      </c>
      <c r="C13" s="7" t="s">
        <v>455</v>
      </c>
      <c r="D13" s="7" t="s">
        <v>4</v>
      </c>
      <c r="E13" s="7" t="s">
        <v>456</v>
      </c>
      <c r="F13" s="7" t="s">
        <v>458</v>
      </c>
      <c r="G13" s="7" t="s">
        <v>58</v>
      </c>
      <c r="H13" s="7" t="s">
        <v>72</v>
      </c>
      <c r="I13" s="7" t="s">
        <v>64</v>
      </c>
    </row>
    <row r="14" ht="42" customHeight="1" spans="1:9">
      <c r="A14" s="7" t="s">
        <v>461</v>
      </c>
      <c r="B14" s="7" t="s">
        <v>30</v>
      </c>
      <c r="C14" s="7" t="s">
        <v>462</v>
      </c>
      <c r="D14" s="7" t="s">
        <v>266</v>
      </c>
      <c r="E14" s="7" t="s">
        <v>351</v>
      </c>
      <c r="F14" s="7" t="s">
        <v>463</v>
      </c>
      <c r="G14" s="7" t="s">
        <v>58</v>
      </c>
      <c r="H14" s="7" t="s">
        <v>72</v>
      </c>
      <c r="I14" s="7" t="s">
        <v>270</v>
      </c>
    </row>
    <row r="15" ht="42" customHeight="1" spans="1:9">
      <c r="A15" s="7" t="s">
        <v>466</v>
      </c>
      <c r="B15" s="7" t="s">
        <v>31</v>
      </c>
      <c r="C15" s="7" t="s">
        <v>467</v>
      </c>
      <c r="D15" s="7" t="s">
        <v>4</v>
      </c>
      <c r="E15" s="7" t="s">
        <v>468</v>
      </c>
      <c r="F15" s="7" t="s">
        <v>470</v>
      </c>
      <c r="G15" s="7" t="s">
        <v>58</v>
      </c>
      <c r="H15" s="7" t="s">
        <v>72</v>
      </c>
      <c r="I15" s="7" t="s">
        <v>64</v>
      </c>
    </row>
    <row r="16" ht="42" customHeight="1" spans="1:9">
      <c r="A16" s="7" t="s">
        <v>475</v>
      </c>
      <c r="B16" s="7" t="s">
        <v>31</v>
      </c>
      <c r="C16" s="7" t="s">
        <v>476</v>
      </c>
      <c r="D16" s="7" t="s">
        <v>5</v>
      </c>
      <c r="E16" s="7" t="s">
        <v>477</v>
      </c>
      <c r="F16" s="7" t="s">
        <v>479</v>
      </c>
      <c r="G16" s="7" t="s">
        <v>58</v>
      </c>
      <c r="H16" s="7" t="s">
        <v>72</v>
      </c>
      <c r="I16" s="7" t="s">
        <v>80</v>
      </c>
    </row>
    <row r="17" ht="42" customHeight="1" spans="1:9">
      <c r="A17" s="7" t="s">
        <v>482</v>
      </c>
      <c r="B17" s="7" t="s">
        <v>31</v>
      </c>
      <c r="C17" s="7" t="s">
        <v>483</v>
      </c>
      <c r="D17" s="7" t="s">
        <v>266</v>
      </c>
      <c r="E17" s="7" t="s">
        <v>108</v>
      </c>
      <c r="F17" s="7" t="s">
        <v>484</v>
      </c>
      <c r="G17" s="7" t="s">
        <v>58</v>
      </c>
      <c r="H17" s="7" t="s">
        <v>72</v>
      </c>
      <c r="I17" s="7" t="s">
        <v>270</v>
      </c>
    </row>
    <row r="18" ht="42" customHeight="1" spans="1:9">
      <c r="A18" s="7" t="s">
        <v>487</v>
      </c>
      <c r="B18" s="7" t="s">
        <v>31</v>
      </c>
      <c r="C18" s="7" t="s">
        <v>488</v>
      </c>
      <c r="D18" s="7" t="s">
        <v>5</v>
      </c>
      <c r="E18" s="7" t="s">
        <v>134</v>
      </c>
      <c r="F18" s="7" t="s">
        <v>489</v>
      </c>
      <c r="G18" s="7" t="s">
        <v>58</v>
      </c>
      <c r="H18" s="7" t="s">
        <v>72</v>
      </c>
      <c r="I18" s="7" t="s">
        <v>80</v>
      </c>
    </row>
    <row r="19" ht="42" customHeight="1" spans="1:9">
      <c r="A19" s="7" t="s">
        <v>492</v>
      </c>
      <c r="B19" s="7" t="s">
        <v>31</v>
      </c>
      <c r="C19" s="7" t="s">
        <v>493</v>
      </c>
      <c r="D19" s="7" t="s">
        <v>5</v>
      </c>
      <c r="E19" s="7" t="s">
        <v>177</v>
      </c>
      <c r="F19" s="7" t="s">
        <v>494</v>
      </c>
      <c r="G19" s="7" t="s">
        <v>58</v>
      </c>
      <c r="H19" s="7" t="s">
        <v>72</v>
      </c>
      <c r="I19" s="7" t="s">
        <v>80</v>
      </c>
    </row>
    <row r="20" ht="42" customHeight="1" spans="1:9">
      <c r="A20" s="7" t="s">
        <v>497</v>
      </c>
      <c r="B20" s="7" t="s">
        <v>31</v>
      </c>
      <c r="C20" s="7" t="s">
        <v>498</v>
      </c>
      <c r="D20" s="7" t="s">
        <v>266</v>
      </c>
      <c r="E20" s="7" t="s">
        <v>155</v>
      </c>
      <c r="F20" s="7" t="s">
        <v>499</v>
      </c>
      <c r="G20" s="7" t="s">
        <v>58</v>
      </c>
      <c r="H20" s="7" t="s">
        <v>72</v>
      </c>
      <c r="I20" s="7" t="s">
        <v>270</v>
      </c>
    </row>
    <row r="21" ht="42" customHeight="1" spans="1:9">
      <c r="A21" s="7" t="s">
        <v>502</v>
      </c>
      <c r="B21" s="7" t="s">
        <v>32</v>
      </c>
      <c r="C21" s="7" t="s">
        <v>503</v>
      </c>
      <c r="D21" s="7" t="s">
        <v>4</v>
      </c>
      <c r="E21" s="7" t="s">
        <v>504</v>
      </c>
      <c r="F21" s="7" t="s">
        <v>506</v>
      </c>
      <c r="G21" s="7" t="s">
        <v>58</v>
      </c>
      <c r="H21" s="7" t="s">
        <v>72</v>
      </c>
      <c r="I21" s="7" t="s">
        <v>64</v>
      </c>
    </row>
    <row r="22" ht="42" customHeight="1" spans="1:9">
      <c r="A22" s="7" t="s">
        <v>511</v>
      </c>
      <c r="B22" s="7" t="s">
        <v>32</v>
      </c>
      <c r="C22" s="7" t="s">
        <v>512</v>
      </c>
      <c r="D22" s="7" t="s">
        <v>5</v>
      </c>
      <c r="E22" s="7" t="s">
        <v>141</v>
      </c>
      <c r="F22" s="7" t="s">
        <v>513</v>
      </c>
      <c r="G22" s="7" t="s">
        <v>58</v>
      </c>
      <c r="H22" s="7" t="s">
        <v>72</v>
      </c>
      <c r="I22" s="7" t="s">
        <v>80</v>
      </c>
    </row>
  </sheetData>
  <mergeCells count="2">
    <mergeCell ref="A1:I1"/>
    <mergeCell ref="A2:I2"/>
  </mergeCells>
  <conditionalFormatting sqref="D5:D22">
    <cfRule type="containsText" dxfId="0" priority="1" operator="between" text="P0">
      <formula>NOT(ISERROR(SEARCH("P0",D5)))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showGridLines="0" workbookViewId="0">
      <selection activeCell="A1" sqref="A1:I1"/>
    </sheetView>
  </sheetViews>
  <sheetFormatPr defaultColWidth="9" defaultRowHeight="14"/>
  <cols>
    <col min="1" max="1" width="38" customWidth="1"/>
    <col min="2" max="2" width="10" customWidth="1"/>
    <col min="3" max="3" width="24" customWidth="1"/>
    <col min="4" max="4" width="8" customWidth="1"/>
    <col min="5" max="5" width="18" customWidth="1"/>
    <col min="6" max="6" width="38" customWidth="1"/>
    <col min="7" max="7" width="30" customWidth="1"/>
    <col min="8" max="8" width="16" customWidth="1"/>
    <col min="9" max="9" width="34" customWidth="1"/>
  </cols>
  <sheetData>
    <row r="1" ht="30" customHeight="1" spans="1:9">
      <c r="A1" s="1" t="s">
        <v>698</v>
      </c>
      <c r="B1" s="1"/>
      <c r="C1" s="1"/>
      <c r="D1" s="1"/>
      <c r="E1" s="1"/>
      <c r="F1" s="1"/>
      <c r="G1" s="1"/>
      <c r="H1" s="1"/>
      <c r="I1" s="1"/>
    </row>
    <row r="2" ht="22" customHeight="1" spans="1:9">
      <c r="A2" s="2" t="s">
        <v>36</v>
      </c>
      <c r="B2" s="2"/>
      <c r="C2" s="2"/>
      <c r="D2" s="2"/>
      <c r="E2" s="2"/>
      <c r="F2" s="2"/>
      <c r="G2" s="2"/>
      <c r="H2" s="2"/>
      <c r="I2" s="2"/>
    </row>
    <row r="4" ht="30" customHeight="1" spans="1:9">
      <c r="A4" s="3" t="s">
        <v>37</v>
      </c>
      <c r="B4" s="4" t="s">
        <v>688</v>
      </c>
      <c r="C4" s="4" t="s">
        <v>38</v>
      </c>
      <c r="D4" s="4" t="s">
        <v>689</v>
      </c>
      <c r="E4" s="4" t="s">
        <v>40</v>
      </c>
      <c r="F4" s="4" t="s">
        <v>690</v>
      </c>
      <c r="G4" s="4" t="s">
        <v>691</v>
      </c>
      <c r="H4" s="4" t="s">
        <v>50</v>
      </c>
      <c r="I4" s="5" t="s">
        <v>692</v>
      </c>
    </row>
    <row r="5" ht="42" customHeight="1" spans="1:9">
      <c r="A5" s="6" t="s">
        <v>516</v>
      </c>
      <c r="B5" s="6" t="s">
        <v>33</v>
      </c>
      <c r="C5" s="6" t="s">
        <v>517</v>
      </c>
      <c r="D5" s="6" t="s">
        <v>4</v>
      </c>
      <c r="E5" s="6" t="s">
        <v>342</v>
      </c>
      <c r="F5" s="6" t="s">
        <v>518</v>
      </c>
      <c r="G5" s="6" t="s">
        <v>520</v>
      </c>
      <c r="H5" s="6" t="s">
        <v>72</v>
      </c>
      <c r="I5" s="6" t="s">
        <v>64</v>
      </c>
    </row>
    <row r="6" ht="42" customHeight="1" spans="1:9">
      <c r="A6" s="7" t="s">
        <v>523</v>
      </c>
      <c r="B6" s="7" t="s">
        <v>33</v>
      </c>
      <c r="C6" s="7" t="s">
        <v>524</v>
      </c>
      <c r="D6" s="7" t="s">
        <v>4</v>
      </c>
      <c r="E6" s="7" t="s">
        <v>525</v>
      </c>
      <c r="F6" s="7" t="s">
        <v>527</v>
      </c>
      <c r="G6" s="7" t="s">
        <v>520</v>
      </c>
      <c r="H6" s="7" t="s">
        <v>72</v>
      </c>
      <c r="I6" s="7" t="s">
        <v>64</v>
      </c>
    </row>
    <row r="7" ht="42" customHeight="1" spans="1:9">
      <c r="A7" s="7" t="s">
        <v>529</v>
      </c>
      <c r="B7" s="7" t="s">
        <v>33</v>
      </c>
      <c r="C7" s="7" t="s">
        <v>530</v>
      </c>
      <c r="D7" s="7" t="s">
        <v>4</v>
      </c>
      <c r="E7" s="7" t="s">
        <v>531</v>
      </c>
      <c r="F7" s="7" t="s">
        <v>533</v>
      </c>
      <c r="G7" s="7" t="s">
        <v>520</v>
      </c>
      <c r="H7" s="7" t="s">
        <v>72</v>
      </c>
      <c r="I7" s="7" t="s">
        <v>64</v>
      </c>
    </row>
    <row r="8" ht="42" customHeight="1" spans="1:9">
      <c r="A8" s="7" t="s">
        <v>535</v>
      </c>
      <c r="B8" s="7" t="s">
        <v>33</v>
      </c>
      <c r="C8" s="7" t="s">
        <v>536</v>
      </c>
      <c r="D8" s="7" t="s">
        <v>5</v>
      </c>
      <c r="E8" s="7" t="s">
        <v>537</v>
      </c>
      <c r="F8" s="7" t="s">
        <v>539</v>
      </c>
      <c r="G8" s="7" t="s">
        <v>520</v>
      </c>
      <c r="H8" s="7" t="s">
        <v>72</v>
      </c>
      <c r="I8" s="7" t="s">
        <v>80</v>
      </c>
    </row>
    <row r="9" ht="42" customHeight="1" spans="1:9">
      <c r="A9" s="7" t="s">
        <v>541</v>
      </c>
      <c r="B9" s="7" t="s">
        <v>33</v>
      </c>
      <c r="C9" s="7" t="s">
        <v>542</v>
      </c>
      <c r="D9" s="7" t="s">
        <v>5</v>
      </c>
      <c r="E9" s="7" t="s">
        <v>543</v>
      </c>
      <c r="F9" s="7" t="s">
        <v>545</v>
      </c>
      <c r="G9" s="7" t="s">
        <v>520</v>
      </c>
      <c r="H9" s="7" t="s">
        <v>72</v>
      </c>
      <c r="I9" s="7" t="s">
        <v>80</v>
      </c>
    </row>
    <row r="10" ht="42" customHeight="1" spans="1:9">
      <c r="A10" s="7" t="s">
        <v>547</v>
      </c>
      <c r="B10" s="7" t="s">
        <v>33</v>
      </c>
      <c r="C10" s="7" t="s">
        <v>548</v>
      </c>
      <c r="D10" s="7" t="s">
        <v>4</v>
      </c>
      <c r="E10" s="7" t="s">
        <v>549</v>
      </c>
      <c r="F10" s="7" t="s">
        <v>551</v>
      </c>
      <c r="G10" s="7" t="s">
        <v>520</v>
      </c>
      <c r="H10" s="7" t="s">
        <v>72</v>
      </c>
      <c r="I10" s="7" t="s">
        <v>64</v>
      </c>
    </row>
    <row r="11" ht="42" customHeight="1" spans="1:9">
      <c r="A11" s="7" t="s">
        <v>553</v>
      </c>
      <c r="B11" s="7" t="s">
        <v>33</v>
      </c>
      <c r="C11" s="7" t="s">
        <v>554</v>
      </c>
      <c r="D11" s="7" t="s">
        <v>5</v>
      </c>
      <c r="E11" s="7" t="s">
        <v>555</v>
      </c>
      <c r="F11" s="7" t="s">
        <v>557</v>
      </c>
      <c r="G11" s="7" t="s">
        <v>520</v>
      </c>
      <c r="H11" s="7" t="s">
        <v>72</v>
      </c>
      <c r="I11" s="7" t="s">
        <v>80</v>
      </c>
    </row>
    <row r="12" ht="42" customHeight="1" spans="1:9">
      <c r="A12" s="7" t="s">
        <v>559</v>
      </c>
      <c r="B12" s="7" t="s">
        <v>33</v>
      </c>
      <c r="C12" s="7" t="s">
        <v>560</v>
      </c>
      <c r="D12" s="7" t="s">
        <v>4</v>
      </c>
      <c r="E12" s="7" t="s">
        <v>561</v>
      </c>
      <c r="F12" s="7" t="s">
        <v>563</v>
      </c>
      <c r="G12" s="7" t="s">
        <v>520</v>
      </c>
      <c r="H12" s="7" t="s">
        <v>72</v>
      </c>
      <c r="I12" s="7" t="s">
        <v>64</v>
      </c>
    </row>
    <row r="13" ht="42" customHeight="1" spans="1:9">
      <c r="A13" s="7" t="s">
        <v>565</v>
      </c>
      <c r="B13" s="7" t="s">
        <v>33</v>
      </c>
      <c r="C13" s="7" t="s">
        <v>566</v>
      </c>
      <c r="D13" s="7" t="s">
        <v>4</v>
      </c>
      <c r="E13" s="7" t="s">
        <v>456</v>
      </c>
      <c r="F13" s="7" t="s">
        <v>567</v>
      </c>
      <c r="G13" s="7" t="s">
        <v>520</v>
      </c>
      <c r="H13" s="7" t="s">
        <v>72</v>
      </c>
      <c r="I13" s="7" t="s">
        <v>64</v>
      </c>
    </row>
    <row r="14" ht="42" customHeight="1" spans="1:9">
      <c r="A14" s="7" t="s">
        <v>569</v>
      </c>
      <c r="B14" s="7" t="s">
        <v>33</v>
      </c>
      <c r="C14" s="7" t="s">
        <v>570</v>
      </c>
      <c r="D14" s="7" t="s">
        <v>5</v>
      </c>
      <c r="E14" s="7" t="s">
        <v>571</v>
      </c>
      <c r="F14" s="7" t="s">
        <v>573</v>
      </c>
      <c r="G14" s="7" t="s">
        <v>520</v>
      </c>
      <c r="H14" s="7" t="s">
        <v>72</v>
      </c>
      <c r="I14" s="7" t="s">
        <v>80</v>
      </c>
    </row>
    <row r="15" ht="42" customHeight="1" spans="1:9">
      <c r="A15" s="7" t="s">
        <v>575</v>
      </c>
      <c r="B15" s="7" t="s">
        <v>33</v>
      </c>
      <c r="C15" s="7" t="s">
        <v>576</v>
      </c>
      <c r="D15" s="7" t="s">
        <v>5</v>
      </c>
      <c r="E15" s="7" t="s">
        <v>577</v>
      </c>
      <c r="F15" s="7" t="s">
        <v>579</v>
      </c>
      <c r="G15" s="7" t="s">
        <v>520</v>
      </c>
      <c r="H15" s="7" t="s">
        <v>63</v>
      </c>
      <c r="I15" s="7" t="s">
        <v>80</v>
      </c>
    </row>
    <row r="16" ht="42" customHeight="1" spans="1:9">
      <c r="A16" s="7" t="s">
        <v>581</v>
      </c>
      <c r="B16" s="7" t="s">
        <v>33</v>
      </c>
      <c r="C16" s="7" t="s">
        <v>582</v>
      </c>
      <c r="D16" s="7" t="s">
        <v>5</v>
      </c>
      <c r="E16" s="7" t="s">
        <v>141</v>
      </c>
      <c r="F16" s="7" t="s">
        <v>583</v>
      </c>
      <c r="G16" s="7" t="s">
        <v>520</v>
      </c>
      <c r="H16" s="7" t="s">
        <v>72</v>
      </c>
      <c r="I16" s="7" t="s">
        <v>80</v>
      </c>
    </row>
    <row r="17" ht="42" customHeight="1" spans="1:9">
      <c r="A17" s="7" t="s">
        <v>585</v>
      </c>
      <c r="B17" s="7" t="s">
        <v>33</v>
      </c>
      <c r="C17" s="7" t="s">
        <v>586</v>
      </c>
      <c r="D17" s="7" t="s">
        <v>5</v>
      </c>
      <c r="E17" s="7" t="s">
        <v>148</v>
      </c>
      <c r="F17" s="7" t="s">
        <v>587</v>
      </c>
      <c r="G17" s="7" t="s">
        <v>520</v>
      </c>
      <c r="H17" s="7" t="s">
        <v>72</v>
      </c>
      <c r="I17" s="7" t="s">
        <v>80</v>
      </c>
    </row>
    <row r="18" ht="42" customHeight="1" spans="1:9">
      <c r="A18" s="7" t="s">
        <v>589</v>
      </c>
      <c r="B18" s="7" t="s">
        <v>33</v>
      </c>
      <c r="C18" s="7" t="s">
        <v>590</v>
      </c>
      <c r="D18" s="7" t="s">
        <v>4</v>
      </c>
      <c r="E18" s="7" t="s">
        <v>591</v>
      </c>
      <c r="F18" s="7" t="s">
        <v>593</v>
      </c>
      <c r="G18" s="7" t="s">
        <v>520</v>
      </c>
      <c r="H18" s="7" t="s">
        <v>72</v>
      </c>
      <c r="I18" s="7" t="s">
        <v>64</v>
      </c>
    </row>
    <row r="19" ht="42" customHeight="1" spans="1:9">
      <c r="A19" s="7" t="s">
        <v>595</v>
      </c>
      <c r="B19" s="7" t="s">
        <v>33</v>
      </c>
      <c r="C19" s="7" t="s">
        <v>596</v>
      </c>
      <c r="D19" s="7" t="s">
        <v>266</v>
      </c>
      <c r="E19" s="7" t="s">
        <v>351</v>
      </c>
      <c r="F19" s="7" t="s">
        <v>597</v>
      </c>
      <c r="G19" s="7" t="s">
        <v>520</v>
      </c>
      <c r="H19" s="7" t="s">
        <v>72</v>
      </c>
      <c r="I19" s="7" t="s">
        <v>270</v>
      </c>
    </row>
    <row r="20" ht="42" customHeight="1" spans="1:9">
      <c r="A20" s="7" t="s">
        <v>599</v>
      </c>
      <c r="B20" s="7" t="s">
        <v>33</v>
      </c>
      <c r="C20" s="7" t="s">
        <v>600</v>
      </c>
      <c r="D20" s="7" t="s">
        <v>5</v>
      </c>
      <c r="E20" s="7" t="s">
        <v>134</v>
      </c>
      <c r="F20" s="7" t="s">
        <v>601</v>
      </c>
      <c r="G20" s="7" t="s">
        <v>520</v>
      </c>
      <c r="H20" s="7" t="s">
        <v>72</v>
      </c>
      <c r="I20" s="7" t="s">
        <v>80</v>
      </c>
    </row>
  </sheetData>
  <mergeCells count="2">
    <mergeCell ref="A1:I1"/>
    <mergeCell ref="A2:I2"/>
  </mergeCells>
  <conditionalFormatting sqref="D5:D20">
    <cfRule type="containsText" dxfId="0" priority="1" operator="between" text="P0">
      <formula>NOT(ISERROR(SEARCH("P0",D5)))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showGridLines="0" workbookViewId="0">
      <selection activeCell="A1" sqref="A1:I1"/>
    </sheetView>
  </sheetViews>
  <sheetFormatPr defaultColWidth="9" defaultRowHeight="14"/>
  <cols>
    <col min="1" max="1" width="38" customWidth="1"/>
    <col min="2" max="2" width="10" customWidth="1"/>
    <col min="3" max="3" width="24" customWidth="1"/>
    <col min="4" max="4" width="8" customWidth="1"/>
    <col min="5" max="5" width="18" customWidth="1"/>
    <col min="6" max="6" width="38" customWidth="1"/>
    <col min="7" max="7" width="30" customWidth="1"/>
    <col min="8" max="8" width="16" customWidth="1"/>
    <col min="9" max="9" width="34" customWidth="1"/>
  </cols>
  <sheetData>
    <row r="1" ht="30" customHeight="1" spans="1:9">
      <c r="A1" s="1" t="s">
        <v>699</v>
      </c>
      <c r="B1" s="1"/>
      <c r="C1" s="1"/>
      <c r="D1" s="1"/>
      <c r="E1" s="1"/>
      <c r="F1" s="1"/>
      <c r="G1" s="1"/>
      <c r="H1" s="1"/>
      <c r="I1" s="1"/>
    </row>
    <row r="2" ht="22" customHeight="1" spans="1:9">
      <c r="A2" s="2" t="s">
        <v>36</v>
      </c>
      <c r="B2" s="2"/>
      <c r="C2" s="2"/>
      <c r="D2" s="2"/>
      <c r="E2" s="2"/>
      <c r="F2" s="2"/>
      <c r="G2" s="2"/>
      <c r="H2" s="2"/>
      <c r="I2" s="2"/>
    </row>
    <row r="4" ht="30" customHeight="1" spans="1:9">
      <c r="A4" s="3" t="s">
        <v>37</v>
      </c>
      <c r="B4" s="4" t="s">
        <v>688</v>
      </c>
      <c r="C4" s="4" t="s">
        <v>38</v>
      </c>
      <c r="D4" s="4" t="s">
        <v>689</v>
      </c>
      <c r="E4" s="4" t="s">
        <v>40</v>
      </c>
      <c r="F4" s="4" t="s">
        <v>690</v>
      </c>
      <c r="G4" s="4" t="s">
        <v>691</v>
      </c>
      <c r="H4" s="4" t="s">
        <v>50</v>
      </c>
      <c r="I4" s="5" t="s">
        <v>692</v>
      </c>
    </row>
    <row r="5" ht="42" customHeight="1" spans="1:9">
      <c r="A5" s="6" t="s">
        <v>603</v>
      </c>
      <c r="B5" s="6" t="s">
        <v>34</v>
      </c>
      <c r="C5" s="6" t="s">
        <v>604</v>
      </c>
      <c r="D5" s="6" t="s">
        <v>4</v>
      </c>
      <c r="E5" s="6" t="s">
        <v>605</v>
      </c>
      <c r="F5" s="6" t="s">
        <v>607</v>
      </c>
      <c r="G5" s="6" t="s">
        <v>609</v>
      </c>
      <c r="H5" s="6" t="s">
        <v>72</v>
      </c>
      <c r="I5" s="6" t="s">
        <v>64</v>
      </c>
    </row>
    <row r="6" ht="42" customHeight="1" spans="1:9">
      <c r="A6" s="7" t="s">
        <v>614</v>
      </c>
      <c r="B6" s="7" t="s">
        <v>34</v>
      </c>
      <c r="C6" s="7" t="s">
        <v>615</v>
      </c>
      <c r="D6" s="7" t="s">
        <v>4</v>
      </c>
      <c r="E6" s="7" t="s">
        <v>616</v>
      </c>
      <c r="F6" s="7" t="s">
        <v>618</v>
      </c>
      <c r="G6" s="7" t="s">
        <v>609</v>
      </c>
      <c r="H6" s="7" t="s">
        <v>72</v>
      </c>
      <c r="I6" s="7" t="s">
        <v>64</v>
      </c>
    </row>
    <row r="7" ht="42" customHeight="1" spans="1:9">
      <c r="A7" s="7" t="s">
        <v>620</v>
      </c>
      <c r="B7" s="7" t="s">
        <v>34</v>
      </c>
      <c r="C7" s="7" t="s">
        <v>621</v>
      </c>
      <c r="D7" s="7" t="s">
        <v>4</v>
      </c>
      <c r="E7" s="7" t="s">
        <v>184</v>
      </c>
      <c r="F7" s="7" t="s">
        <v>622</v>
      </c>
      <c r="G7" s="7" t="s">
        <v>609</v>
      </c>
      <c r="H7" s="7" t="s">
        <v>72</v>
      </c>
      <c r="I7" s="7" t="s">
        <v>64</v>
      </c>
    </row>
    <row r="8" ht="42" customHeight="1" spans="1:9">
      <c r="A8" s="7" t="s">
        <v>624</v>
      </c>
      <c r="B8" s="7" t="s">
        <v>34</v>
      </c>
      <c r="C8" s="7" t="s">
        <v>625</v>
      </c>
      <c r="D8" s="7" t="s">
        <v>4</v>
      </c>
      <c r="E8" s="7" t="s">
        <v>626</v>
      </c>
      <c r="F8" s="7" t="s">
        <v>628</v>
      </c>
      <c r="G8" s="7" t="s">
        <v>609</v>
      </c>
      <c r="H8" s="7" t="s">
        <v>72</v>
      </c>
      <c r="I8" s="7" t="s">
        <v>64</v>
      </c>
    </row>
    <row r="9" ht="42" customHeight="1" spans="1:9">
      <c r="A9" s="7" t="s">
        <v>630</v>
      </c>
      <c r="B9" s="7" t="s">
        <v>34</v>
      </c>
      <c r="C9" s="7" t="s">
        <v>631</v>
      </c>
      <c r="D9" s="7" t="s">
        <v>4</v>
      </c>
      <c r="E9" s="7" t="s">
        <v>632</v>
      </c>
      <c r="F9" s="7" t="s">
        <v>634</v>
      </c>
      <c r="G9" s="7" t="s">
        <v>609</v>
      </c>
      <c r="H9" s="7" t="s">
        <v>72</v>
      </c>
      <c r="I9" s="7" t="s">
        <v>64</v>
      </c>
    </row>
    <row r="10" ht="42" customHeight="1" spans="1:9">
      <c r="A10" s="7" t="s">
        <v>636</v>
      </c>
      <c r="B10" s="7" t="s">
        <v>34</v>
      </c>
      <c r="C10" s="7" t="s">
        <v>637</v>
      </c>
      <c r="D10" s="7" t="s">
        <v>4</v>
      </c>
      <c r="E10" s="7" t="s">
        <v>638</v>
      </c>
      <c r="F10" s="7" t="s">
        <v>640</v>
      </c>
      <c r="G10" s="7" t="s">
        <v>609</v>
      </c>
      <c r="H10" s="7" t="s">
        <v>72</v>
      </c>
      <c r="I10" s="7" t="s">
        <v>64</v>
      </c>
    </row>
    <row r="11" ht="42" customHeight="1" spans="1:9">
      <c r="A11" s="7" t="s">
        <v>642</v>
      </c>
      <c r="B11" s="7" t="s">
        <v>34</v>
      </c>
      <c r="C11" s="7" t="s">
        <v>643</v>
      </c>
      <c r="D11" s="7" t="s">
        <v>4</v>
      </c>
      <c r="E11" s="7" t="s">
        <v>644</v>
      </c>
      <c r="F11" s="7" t="s">
        <v>646</v>
      </c>
      <c r="G11" s="7" t="s">
        <v>609</v>
      </c>
      <c r="H11" s="7" t="s">
        <v>72</v>
      </c>
      <c r="I11" s="7" t="s">
        <v>64</v>
      </c>
    </row>
    <row r="12" ht="42" customHeight="1" spans="1:9">
      <c r="A12" s="7" t="s">
        <v>648</v>
      </c>
      <c r="B12" s="7" t="s">
        <v>34</v>
      </c>
      <c r="C12" s="7" t="s">
        <v>649</v>
      </c>
      <c r="D12" s="7" t="s">
        <v>4</v>
      </c>
      <c r="E12" s="7" t="s">
        <v>650</v>
      </c>
      <c r="F12" s="7" t="s">
        <v>652</v>
      </c>
      <c r="G12" s="7" t="s">
        <v>609</v>
      </c>
      <c r="H12" s="7" t="s">
        <v>72</v>
      </c>
      <c r="I12" s="7" t="s">
        <v>64</v>
      </c>
    </row>
    <row r="13" ht="42" customHeight="1" spans="1:9">
      <c r="A13" s="7" t="s">
        <v>654</v>
      </c>
      <c r="B13" s="7" t="s">
        <v>34</v>
      </c>
      <c r="C13" s="7" t="s">
        <v>655</v>
      </c>
      <c r="D13" s="7" t="s">
        <v>4</v>
      </c>
      <c r="E13" s="7" t="s">
        <v>656</v>
      </c>
      <c r="F13" s="7" t="s">
        <v>658</v>
      </c>
      <c r="G13" s="7" t="s">
        <v>609</v>
      </c>
      <c r="H13" s="7" t="s">
        <v>72</v>
      </c>
      <c r="I13" s="7" t="s">
        <v>64</v>
      </c>
    </row>
    <row r="14" ht="42" customHeight="1" spans="1:9">
      <c r="A14" s="7" t="s">
        <v>660</v>
      </c>
      <c r="B14" s="7" t="s">
        <v>34</v>
      </c>
      <c r="C14" s="7" t="s">
        <v>661</v>
      </c>
      <c r="D14" s="7" t="s">
        <v>4</v>
      </c>
      <c r="E14" s="7" t="s">
        <v>456</v>
      </c>
      <c r="F14" s="7" t="s">
        <v>662</v>
      </c>
      <c r="G14" s="7" t="s">
        <v>609</v>
      </c>
      <c r="H14" s="7" t="s">
        <v>72</v>
      </c>
      <c r="I14" s="7" t="s">
        <v>64</v>
      </c>
    </row>
    <row r="15" ht="42" customHeight="1" spans="1:9">
      <c r="A15" s="7" t="s">
        <v>664</v>
      </c>
      <c r="B15" s="7" t="s">
        <v>34</v>
      </c>
      <c r="C15" s="7" t="s">
        <v>665</v>
      </c>
      <c r="D15" s="7" t="s">
        <v>5</v>
      </c>
      <c r="E15" s="7" t="s">
        <v>666</v>
      </c>
      <c r="F15" s="7" t="s">
        <v>668</v>
      </c>
      <c r="G15" s="7" t="s">
        <v>609</v>
      </c>
      <c r="H15" s="7" t="s">
        <v>72</v>
      </c>
      <c r="I15" s="7" t="s">
        <v>80</v>
      </c>
    </row>
    <row r="16" ht="42" customHeight="1" spans="1:9">
      <c r="A16" s="7" t="s">
        <v>670</v>
      </c>
      <c r="B16" s="7" t="s">
        <v>34</v>
      </c>
      <c r="C16" s="7" t="s">
        <v>671</v>
      </c>
      <c r="D16" s="7" t="s">
        <v>5</v>
      </c>
      <c r="E16" s="7" t="s">
        <v>672</v>
      </c>
      <c r="F16" s="7" t="s">
        <v>674</v>
      </c>
      <c r="G16" s="7" t="s">
        <v>609</v>
      </c>
      <c r="H16" s="7" t="s">
        <v>72</v>
      </c>
      <c r="I16" s="7" t="s">
        <v>80</v>
      </c>
    </row>
    <row r="17" ht="42" customHeight="1" spans="1:9">
      <c r="A17" s="7" t="s">
        <v>676</v>
      </c>
      <c r="B17" s="7" t="s">
        <v>34</v>
      </c>
      <c r="C17" s="7" t="s">
        <v>677</v>
      </c>
      <c r="D17" s="7" t="s">
        <v>5</v>
      </c>
      <c r="E17" s="7" t="s">
        <v>678</v>
      </c>
      <c r="F17" s="7" t="s">
        <v>679</v>
      </c>
      <c r="G17" s="7" t="s">
        <v>609</v>
      </c>
      <c r="H17" s="7" t="s">
        <v>72</v>
      </c>
      <c r="I17" s="7" t="s">
        <v>80</v>
      </c>
    </row>
    <row r="18" ht="42" customHeight="1" spans="1:9">
      <c r="A18" s="7" t="s">
        <v>681</v>
      </c>
      <c r="B18" s="7" t="s">
        <v>34</v>
      </c>
      <c r="C18" s="7" t="s">
        <v>682</v>
      </c>
      <c r="D18" s="7" t="s">
        <v>5</v>
      </c>
      <c r="E18" s="7" t="s">
        <v>683</v>
      </c>
      <c r="F18" s="7" t="s">
        <v>685</v>
      </c>
      <c r="G18" s="7" t="s">
        <v>609</v>
      </c>
      <c r="H18" s="7" t="s">
        <v>72</v>
      </c>
      <c r="I18" s="7" t="s">
        <v>80</v>
      </c>
    </row>
  </sheetData>
  <mergeCells count="2">
    <mergeCell ref="A1:I1"/>
    <mergeCell ref="A2:I2"/>
  </mergeCells>
  <conditionalFormatting sqref="D5:D18">
    <cfRule type="containsText" dxfId="0" priority="1" operator="between" text="P0">
      <formula>NOT(ISERROR(SEARCH("P0",D5)))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"/>
  <sheetViews>
    <sheetView showGridLines="0" workbookViewId="0">
      <selection activeCell="A1" sqref="A1:O1"/>
    </sheetView>
  </sheetViews>
  <sheetFormatPr defaultColWidth="9" defaultRowHeight="14"/>
  <cols>
    <col min="1" max="1" width="38" customWidth="1"/>
    <col min="2" max="2" width="24" customWidth="1"/>
    <col min="3" max="3" width="26" customWidth="1"/>
    <col min="4" max="4" width="14" customWidth="1"/>
    <col min="5" max="5" width="34" customWidth="1"/>
    <col min="6" max="6" width="12" customWidth="1"/>
    <col min="7" max="7" width="34" customWidth="1"/>
    <col min="8" max="8" width="22" customWidth="1"/>
    <col min="9" max="9" width="16" customWidth="1"/>
    <col min="10" max="10" width="30" customWidth="1"/>
    <col min="11" max="11" width="14" customWidth="1"/>
    <col min="12" max="12" width="30" customWidth="1"/>
    <col min="13" max="13" width="34" customWidth="1"/>
    <col min="14" max="14" width="16" customWidth="1"/>
    <col min="15" max="15" width="26" customWidth="1"/>
  </cols>
  <sheetData>
    <row r="1" ht="30" customHeight="1" spans="1:15">
      <c r="A1" s="1" t="s">
        <v>700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2" customHeight="1" spans="1:15">
      <c r="A2" s="2" t="s">
        <v>36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ht="30" customHeight="1" spans="1:15">
      <c r="A4" s="3" t="s">
        <v>701</v>
      </c>
      <c r="B4" s="4" t="s">
        <v>702</v>
      </c>
      <c r="C4" s="4" t="s">
        <v>703</v>
      </c>
      <c r="D4" s="4" t="s">
        <v>704</v>
      </c>
      <c r="E4" s="4" t="s">
        <v>705</v>
      </c>
      <c r="F4" s="4" t="s">
        <v>706</v>
      </c>
      <c r="G4" s="4" t="s">
        <v>707</v>
      </c>
      <c r="H4" s="4" t="s">
        <v>708</v>
      </c>
      <c r="I4" s="4" t="s">
        <v>709</v>
      </c>
      <c r="J4" s="4" t="s">
        <v>710</v>
      </c>
      <c r="K4" s="4" t="s">
        <v>711</v>
      </c>
      <c r="L4" s="4" t="s">
        <v>712</v>
      </c>
      <c r="M4" s="4" t="s">
        <v>713</v>
      </c>
      <c r="N4" s="4" t="s">
        <v>50</v>
      </c>
      <c r="O4" s="5" t="s">
        <v>714</v>
      </c>
    </row>
    <row r="5" ht="42" customHeight="1" spans="1:15">
      <c r="A5" s="6" t="s">
        <v>202</v>
      </c>
      <c r="B5" s="6" t="s">
        <v>203</v>
      </c>
      <c r="C5" s="6" t="s">
        <v>715</v>
      </c>
      <c r="D5" s="6" t="s">
        <v>716</v>
      </c>
      <c r="E5" s="6" t="s">
        <v>717</v>
      </c>
      <c r="F5" s="6" t="s">
        <v>718</v>
      </c>
      <c r="G5" s="6" t="s">
        <v>719</v>
      </c>
      <c r="H5" s="6" t="s">
        <v>720</v>
      </c>
      <c r="I5" s="6" t="s">
        <v>721</v>
      </c>
      <c r="J5" s="6" t="s">
        <v>722</v>
      </c>
      <c r="K5" s="6" t="s">
        <v>723</v>
      </c>
      <c r="L5" s="6" t="s">
        <v>723</v>
      </c>
      <c r="M5" s="6" t="s">
        <v>723</v>
      </c>
      <c r="N5" s="6" t="s">
        <v>63</v>
      </c>
      <c r="O5" s="6" t="s">
        <v>724</v>
      </c>
    </row>
    <row r="6" ht="42" customHeight="1" spans="1:15">
      <c r="A6" s="7" t="s">
        <v>211</v>
      </c>
      <c r="B6" s="7" t="s">
        <v>212</v>
      </c>
      <c r="C6" s="7" t="s">
        <v>725</v>
      </c>
      <c r="D6" s="7" t="s">
        <v>726</v>
      </c>
      <c r="E6" s="7" t="s">
        <v>727</v>
      </c>
      <c r="F6" s="7" t="s">
        <v>718</v>
      </c>
      <c r="G6" s="7" t="s">
        <v>728</v>
      </c>
      <c r="H6" s="7" t="s">
        <v>723</v>
      </c>
      <c r="I6" s="7" t="s">
        <v>718</v>
      </c>
      <c r="J6" s="7" t="s">
        <v>729</v>
      </c>
      <c r="K6" s="7" t="s">
        <v>723</v>
      </c>
      <c r="L6" s="7" t="s">
        <v>723</v>
      </c>
      <c r="M6" s="7" t="s">
        <v>723</v>
      </c>
      <c r="N6" s="7" t="s">
        <v>63</v>
      </c>
      <c r="O6" s="7" t="s">
        <v>723</v>
      </c>
    </row>
    <row r="7" ht="42" customHeight="1" spans="1:15">
      <c r="A7" s="7" t="s">
        <v>218</v>
      </c>
      <c r="B7" s="7" t="s">
        <v>219</v>
      </c>
      <c r="C7" s="7" t="s">
        <v>730</v>
      </c>
      <c r="D7" s="7" t="s">
        <v>726</v>
      </c>
      <c r="E7" s="7" t="s">
        <v>731</v>
      </c>
      <c r="F7" s="7" t="s">
        <v>718</v>
      </c>
      <c r="G7" s="7" t="s">
        <v>728</v>
      </c>
      <c r="H7" s="7" t="s">
        <v>723</v>
      </c>
      <c r="I7" s="7" t="s">
        <v>718</v>
      </c>
      <c r="J7" s="7" t="s">
        <v>732</v>
      </c>
      <c r="K7" s="7" t="s">
        <v>723</v>
      </c>
      <c r="L7" s="7" t="s">
        <v>723</v>
      </c>
      <c r="M7" s="7" t="s">
        <v>723</v>
      </c>
      <c r="N7" s="7" t="s">
        <v>63</v>
      </c>
      <c r="O7" s="7" t="s">
        <v>723</v>
      </c>
    </row>
    <row r="8" ht="42" customHeight="1" spans="1:15">
      <c r="A8" s="7" t="s">
        <v>225</v>
      </c>
      <c r="B8" s="7" t="s">
        <v>226</v>
      </c>
      <c r="C8" s="7" t="s">
        <v>733</v>
      </c>
      <c r="D8" s="7" t="s">
        <v>734</v>
      </c>
      <c r="E8" s="7" t="s">
        <v>735</v>
      </c>
      <c r="F8" s="7" t="s">
        <v>718</v>
      </c>
      <c r="G8" s="7" t="s">
        <v>736</v>
      </c>
      <c r="H8" s="7" t="s">
        <v>723</v>
      </c>
      <c r="I8" s="7" t="s">
        <v>721</v>
      </c>
      <c r="J8" s="7" t="s">
        <v>737</v>
      </c>
      <c r="K8" s="7" t="s">
        <v>723</v>
      </c>
      <c r="L8" s="7" t="s">
        <v>723</v>
      </c>
      <c r="M8" s="7" t="s">
        <v>723</v>
      </c>
      <c r="N8" s="7" t="s">
        <v>63</v>
      </c>
      <c r="O8" s="7" t="s">
        <v>723</v>
      </c>
    </row>
    <row r="9" ht="42" customHeight="1" spans="1:15">
      <c r="A9" s="7" t="s">
        <v>232</v>
      </c>
      <c r="B9" s="7" t="s">
        <v>233</v>
      </c>
      <c r="C9" s="7" t="s">
        <v>738</v>
      </c>
      <c r="D9" s="7" t="s">
        <v>716</v>
      </c>
      <c r="E9" s="7" t="s">
        <v>739</v>
      </c>
      <c r="F9" s="7" t="s">
        <v>718</v>
      </c>
      <c r="G9" s="7" t="s">
        <v>740</v>
      </c>
      <c r="H9" s="7" t="s">
        <v>723</v>
      </c>
      <c r="I9" s="7" t="s">
        <v>721</v>
      </c>
      <c r="J9" s="7" t="s">
        <v>741</v>
      </c>
      <c r="K9" s="7" t="s">
        <v>723</v>
      </c>
      <c r="L9" s="7" t="s">
        <v>723</v>
      </c>
      <c r="M9" s="7" t="s">
        <v>723</v>
      </c>
      <c r="N9" s="7" t="s">
        <v>63</v>
      </c>
      <c r="O9" s="7" t="s">
        <v>723</v>
      </c>
    </row>
    <row r="10" ht="42" customHeight="1" spans="1:15">
      <c r="A10" s="7" t="s">
        <v>237</v>
      </c>
      <c r="B10" s="7" t="s">
        <v>238</v>
      </c>
      <c r="C10" s="7" t="s">
        <v>742</v>
      </c>
      <c r="D10" s="7" t="s">
        <v>716</v>
      </c>
      <c r="E10" s="7" t="s">
        <v>743</v>
      </c>
      <c r="F10" s="7" t="s">
        <v>718</v>
      </c>
      <c r="G10" s="7" t="s">
        <v>719</v>
      </c>
      <c r="H10" s="7" t="s">
        <v>723</v>
      </c>
      <c r="I10" s="7" t="s">
        <v>721</v>
      </c>
      <c r="J10" s="7" t="s">
        <v>744</v>
      </c>
      <c r="K10" s="7" t="s">
        <v>723</v>
      </c>
      <c r="L10" s="7" t="s">
        <v>723</v>
      </c>
      <c r="M10" s="7" t="s">
        <v>723</v>
      </c>
      <c r="N10" s="7" t="s">
        <v>63</v>
      </c>
      <c r="O10" s="7" t="s">
        <v>723</v>
      </c>
    </row>
    <row r="11" ht="42" customHeight="1" spans="1:15">
      <c r="A11" s="7" t="s">
        <v>242</v>
      </c>
      <c r="B11" s="7" t="s">
        <v>243</v>
      </c>
      <c r="C11" s="7" t="s">
        <v>745</v>
      </c>
      <c r="D11" s="7" t="s">
        <v>716</v>
      </c>
      <c r="E11" s="7" t="s">
        <v>746</v>
      </c>
      <c r="F11" s="7" t="s">
        <v>718</v>
      </c>
      <c r="G11" s="7" t="s">
        <v>747</v>
      </c>
      <c r="H11" s="7" t="s">
        <v>723</v>
      </c>
      <c r="I11" s="7" t="s">
        <v>721</v>
      </c>
      <c r="J11" s="7" t="s">
        <v>748</v>
      </c>
      <c r="K11" s="7" t="s">
        <v>723</v>
      </c>
      <c r="L11" s="7" t="s">
        <v>723</v>
      </c>
      <c r="M11" s="7" t="s">
        <v>723</v>
      </c>
      <c r="N11" s="7" t="s">
        <v>63</v>
      </c>
      <c r="O11" s="7" t="s">
        <v>723</v>
      </c>
    </row>
    <row r="12" ht="42" customHeight="1" spans="1:15">
      <c r="A12" s="7" t="s">
        <v>247</v>
      </c>
      <c r="B12" s="7" t="s">
        <v>248</v>
      </c>
      <c r="C12" s="7" t="s">
        <v>749</v>
      </c>
      <c r="D12" s="7" t="s">
        <v>726</v>
      </c>
      <c r="E12" s="7" t="s">
        <v>750</v>
      </c>
      <c r="F12" s="7" t="s">
        <v>718</v>
      </c>
      <c r="G12" s="7" t="s">
        <v>728</v>
      </c>
      <c r="H12" s="7" t="s">
        <v>723</v>
      </c>
      <c r="I12" s="7" t="s">
        <v>718</v>
      </c>
      <c r="J12" s="7" t="s">
        <v>751</v>
      </c>
      <c r="K12" s="7" t="s">
        <v>723</v>
      </c>
      <c r="L12" s="7" t="s">
        <v>723</v>
      </c>
      <c r="M12" s="7" t="s">
        <v>723</v>
      </c>
      <c r="N12" s="7" t="s">
        <v>63</v>
      </c>
      <c r="O12" s="7" t="s">
        <v>723</v>
      </c>
    </row>
    <row r="13" ht="42" customHeight="1" spans="1:15">
      <c r="A13" s="7" t="s">
        <v>254</v>
      </c>
      <c r="B13" s="7" t="s">
        <v>255</v>
      </c>
      <c r="C13" s="7" t="s">
        <v>752</v>
      </c>
      <c r="D13" s="7" t="s">
        <v>716</v>
      </c>
      <c r="E13" s="7" t="s">
        <v>753</v>
      </c>
      <c r="F13" s="7" t="s">
        <v>718</v>
      </c>
      <c r="G13" s="7" t="s">
        <v>747</v>
      </c>
      <c r="H13" s="7" t="s">
        <v>723</v>
      </c>
      <c r="I13" s="7" t="s">
        <v>721</v>
      </c>
      <c r="J13" s="7" t="s">
        <v>754</v>
      </c>
      <c r="K13" s="7" t="s">
        <v>723</v>
      </c>
      <c r="L13" s="7" t="s">
        <v>723</v>
      </c>
      <c r="M13" s="7" t="s">
        <v>723</v>
      </c>
      <c r="N13" s="7" t="s">
        <v>63</v>
      </c>
      <c r="O13" s="7" t="s">
        <v>723</v>
      </c>
    </row>
    <row r="14" ht="42" customHeight="1" spans="1:15">
      <c r="A14" s="7" t="s">
        <v>259</v>
      </c>
      <c r="B14" s="7" t="s">
        <v>260</v>
      </c>
      <c r="C14" s="7" t="s">
        <v>755</v>
      </c>
      <c r="D14" s="7" t="s">
        <v>734</v>
      </c>
      <c r="E14" s="7" t="s">
        <v>756</v>
      </c>
      <c r="F14" s="7" t="s">
        <v>718</v>
      </c>
      <c r="G14" s="7" t="s">
        <v>736</v>
      </c>
      <c r="H14" s="7" t="s">
        <v>723</v>
      </c>
      <c r="I14" s="7" t="s">
        <v>721</v>
      </c>
      <c r="J14" s="7" t="s">
        <v>757</v>
      </c>
      <c r="K14" s="7" t="s">
        <v>723</v>
      </c>
      <c r="L14" s="7" t="s">
        <v>723</v>
      </c>
      <c r="M14" s="7" t="s">
        <v>723</v>
      </c>
      <c r="N14" s="7" t="s">
        <v>63</v>
      </c>
      <c r="O14" s="7" t="s">
        <v>723</v>
      </c>
    </row>
    <row r="15" ht="42" customHeight="1" spans="1:15">
      <c r="A15" s="7" t="s">
        <v>264</v>
      </c>
      <c r="B15" s="7" t="s">
        <v>265</v>
      </c>
      <c r="C15" s="7" t="s">
        <v>758</v>
      </c>
      <c r="D15" s="7" t="s">
        <v>734</v>
      </c>
      <c r="E15" s="7" t="s">
        <v>759</v>
      </c>
      <c r="F15" s="7" t="s">
        <v>718</v>
      </c>
      <c r="G15" s="7" t="s">
        <v>736</v>
      </c>
      <c r="H15" s="7" t="s">
        <v>723</v>
      </c>
      <c r="I15" s="7" t="s">
        <v>721</v>
      </c>
      <c r="J15" s="7" t="s">
        <v>723</v>
      </c>
      <c r="K15" s="7" t="s">
        <v>723</v>
      </c>
      <c r="L15" s="7" t="s">
        <v>723</v>
      </c>
      <c r="M15" s="7" t="s">
        <v>723</v>
      </c>
      <c r="N15" s="7" t="s">
        <v>63</v>
      </c>
      <c r="O15" s="7" t="s">
        <v>723</v>
      </c>
    </row>
    <row r="16" ht="42" customHeight="1" spans="1:15">
      <c r="A16" s="7" t="s">
        <v>271</v>
      </c>
      <c r="B16" s="7" t="s">
        <v>272</v>
      </c>
      <c r="C16" s="7" t="s">
        <v>760</v>
      </c>
      <c r="D16" s="7" t="s">
        <v>716</v>
      </c>
      <c r="E16" s="7" t="s">
        <v>761</v>
      </c>
      <c r="F16" s="7" t="s">
        <v>718</v>
      </c>
      <c r="G16" s="7" t="s">
        <v>747</v>
      </c>
      <c r="H16" s="7" t="s">
        <v>723</v>
      </c>
      <c r="I16" s="7" t="s">
        <v>721</v>
      </c>
      <c r="J16" s="7" t="s">
        <v>762</v>
      </c>
      <c r="K16" s="7" t="s">
        <v>723</v>
      </c>
      <c r="L16" s="7" t="s">
        <v>723</v>
      </c>
      <c r="M16" s="7" t="s">
        <v>723</v>
      </c>
      <c r="N16" s="7" t="s">
        <v>63</v>
      </c>
      <c r="O16" s="7" t="s">
        <v>763</v>
      </c>
    </row>
    <row r="17" ht="42" customHeight="1" spans="1:15">
      <c r="A17" s="7" t="s">
        <v>276</v>
      </c>
      <c r="B17" s="7" t="s">
        <v>277</v>
      </c>
      <c r="C17" s="7" t="s">
        <v>764</v>
      </c>
      <c r="D17" s="7" t="s">
        <v>734</v>
      </c>
      <c r="E17" s="7" t="s">
        <v>765</v>
      </c>
      <c r="F17" s="7" t="s">
        <v>718</v>
      </c>
      <c r="G17" s="7" t="s">
        <v>736</v>
      </c>
      <c r="H17" s="7" t="s">
        <v>723</v>
      </c>
      <c r="I17" s="7" t="s">
        <v>721</v>
      </c>
      <c r="J17" s="7" t="s">
        <v>766</v>
      </c>
      <c r="K17" s="7" t="s">
        <v>723</v>
      </c>
      <c r="L17" s="7" t="s">
        <v>723</v>
      </c>
      <c r="M17" s="7" t="s">
        <v>723</v>
      </c>
      <c r="N17" s="7" t="s">
        <v>63</v>
      </c>
      <c r="O17" s="7" t="s">
        <v>723</v>
      </c>
    </row>
  </sheetData>
  <mergeCells count="2">
    <mergeCell ref="A1:O1"/>
    <mergeCell ref="A2:O2"/>
  </mergeCells>
  <dataValidations count="1">
    <dataValidation type="list" sqref="D5:D17 K5:K17">
      <formula1>"SV0,SV1,SV2"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showGridLines="0" workbookViewId="0">
      <selection activeCell="A1" sqref="A1:L1"/>
    </sheetView>
  </sheetViews>
  <sheetFormatPr defaultColWidth="9" defaultRowHeight="14"/>
  <cols>
    <col min="1" max="1" width="16" customWidth="1"/>
    <col min="2" max="2" width="28" customWidth="1"/>
    <col min="3" max="3" width="16" customWidth="1"/>
    <col min="4" max="4" width="42" customWidth="1"/>
    <col min="5" max="5" width="26" customWidth="1"/>
    <col min="6" max="6" width="24" customWidth="1"/>
    <col min="7" max="7" width="34" customWidth="1"/>
    <col min="8" max="8" width="30" customWidth="1"/>
    <col min="9" max="9" width="34" customWidth="1"/>
    <col min="10" max="10" width="28" customWidth="1"/>
    <col min="11" max="11" width="20" customWidth="1"/>
    <col min="12" max="12" width="18" customWidth="1"/>
  </cols>
  <sheetData>
    <row r="1" ht="30" customHeight="1" spans="1:12">
      <c r="A1" s="1" t="s">
        <v>767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>
      <c r="A2" s="2" t="s">
        <v>36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30" customHeight="1" spans="1:12">
      <c r="A4" s="3" t="s">
        <v>768</v>
      </c>
      <c r="B4" s="4" t="s">
        <v>769</v>
      </c>
      <c r="C4" s="4" t="s">
        <v>770</v>
      </c>
      <c r="D4" s="4" t="s">
        <v>771</v>
      </c>
      <c r="E4" s="4" t="s">
        <v>772</v>
      </c>
      <c r="F4" s="4" t="s">
        <v>773</v>
      </c>
      <c r="G4" s="4" t="s">
        <v>774</v>
      </c>
      <c r="H4" s="4" t="s">
        <v>775</v>
      </c>
      <c r="I4" s="4" t="s">
        <v>776</v>
      </c>
      <c r="J4" s="4" t="s">
        <v>777</v>
      </c>
      <c r="K4" s="4" t="s">
        <v>778</v>
      </c>
      <c r="L4" s="5" t="s">
        <v>779</v>
      </c>
    </row>
    <row r="5" ht="42" customHeight="1" spans="1:12">
      <c r="A5" s="6" t="s">
        <v>780</v>
      </c>
      <c r="B5" s="6" t="s">
        <v>781</v>
      </c>
      <c r="C5" s="6" t="s">
        <v>678</v>
      </c>
      <c r="D5" s="6" t="s">
        <v>782</v>
      </c>
      <c r="E5" s="6" t="s">
        <v>783</v>
      </c>
      <c r="F5" s="6" t="s">
        <v>784</v>
      </c>
      <c r="G5" s="6" t="s">
        <v>785</v>
      </c>
      <c r="H5" s="6" t="s">
        <v>786</v>
      </c>
      <c r="I5" s="6" t="s">
        <v>787</v>
      </c>
      <c r="J5" s="6" t="s">
        <v>788</v>
      </c>
      <c r="K5" s="6" t="s">
        <v>789</v>
      </c>
      <c r="L5" s="6" t="s">
        <v>790</v>
      </c>
    </row>
    <row r="6" ht="42" customHeight="1" spans="1:12">
      <c r="A6" s="7" t="s">
        <v>791</v>
      </c>
      <c r="B6" s="7" t="s">
        <v>792</v>
      </c>
      <c r="C6" s="7" t="s">
        <v>666</v>
      </c>
      <c r="D6" s="7" t="s">
        <v>793</v>
      </c>
      <c r="E6" s="7" t="s">
        <v>794</v>
      </c>
      <c r="F6" s="7" t="s">
        <v>795</v>
      </c>
      <c r="G6" s="7" t="s">
        <v>796</v>
      </c>
      <c r="H6" s="7" t="s">
        <v>797</v>
      </c>
      <c r="I6" s="7" t="s">
        <v>798</v>
      </c>
      <c r="J6" s="7" t="s">
        <v>799</v>
      </c>
      <c r="K6" s="7" t="s">
        <v>800</v>
      </c>
      <c r="L6" s="7" t="s">
        <v>801</v>
      </c>
    </row>
    <row r="7" ht="42" customHeight="1" spans="1:12">
      <c r="A7" s="7" t="s">
        <v>802</v>
      </c>
      <c r="B7" s="7" t="s">
        <v>803</v>
      </c>
      <c r="C7" s="7" t="s">
        <v>804</v>
      </c>
      <c r="D7" s="7" t="s">
        <v>805</v>
      </c>
      <c r="E7" s="7" t="s">
        <v>806</v>
      </c>
      <c r="F7" s="7" t="s">
        <v>807</v>
      </c>
      <c r="G7" s="7" t="s">
        <v>808</v>
      </c>
      <c r="H7" s="7" t="s">
        <v>809</v>
      </c>
      <c r="I7" s="7" t="s">
        <v>810</v>
      </c>
      <c r="J7" s="7" t="s">
        <v>811</v>
      </c>
      <c r="K7" s="7" t="s">
        <v>812</v>
      </c>
      <c r="L7" s="7" t="s">
        <v>812</v>
      </c>
    </row>
    <row r="8" ht="42" customHeight="1" spans="1:12">
      <c r="A8" s="7" t="s">
        <v>813</v>
      </c>
      <c r="B8" s="7" t="s">
        <v>814</v>
      </c>
      <c r="C8" s="7" t="s">
        <v>815</v>
      </c>
      <c r="D8" s="7" t="s">
        <v>816</v>
      </c>
      <c r="E8" s="7" t="s">
        <v>817</v>
      </c>
      <c r="F8" s="7" t="s">
        <v>818</v>
      </c>
      <c r="G8" s="7" t="s">
        <v>819</v>
      </c>
      <c r="H8" s="7" t="s">
        <v>820</v>
      </c>
      <c r="I8" s="7" t="s">
        <v>821</v>
      </c>
      <c r="J8" s="7" t="s">
        <v>822</v>
      </c>
      <c r="K8" s="7" t="s">
        <v>823</v>
      </c>
      <c r="L8" s="7" t="s">
        <v>824</v>
      </c>
    </row>
    <row r="9" ht="42" customHeight="1" spans="1:12">
      <c r="A9" s="7" t="s">
        <v>825</v>
      </c>
      <c r="B9" s="7" t="s">
        <v>826</v>
      </c>
      <c r="C9" s="7" t="s">
        <v>827</v>
      </c>
      <c r="D9" s="7" t="s">
        <v>828</v>
      </c>
      <c r="E9" s="7" t="s">
        <v>829</v>
      </c>
      <c r="F9" s="7" t="s">
        <v>830</v>
      </c>
      <c r="G9" s="7" t="s">
        <v>831</v>
      </c>
      <c r="H9" s="7" t="s">
        <v>832</v>
      </c>
      <c r="I9" s="7" t="s">
        <v>833</v>
      </c>
      <c r="J9" s="7" t="s">
        <v>834</v>
      </c>
      <c r="K9" s="7" t="s">
        <v>835</v>
      </c>
      <c r="L9" s="7" t="s">
        <v>801</v>
      </c>
    </row>
    <row r="10" ht="42" customHeight="1" spans="1:12">
      <c r="A10" s="7" t="s">
        <v>836</v>
      </c>
      <c r="B10" s="7" t="s">
        <v>837</v>
      </c>
      <c r="C10" s="7" t="s">
        <v>838</v>
      </c>
      <c r="D10" s="7" t="s">
        <v>839</v>
      </c>
      <c r="E10" s="7" t="s">
        <v>840</v>
      </c>
      <c r="F10" s="7" t="s">
        <v>841</v>
      </c>
      <c r="G10" s="7" t="s">
        <v>842</v>
      </c>
      <c r="H10" s="7" t="s">
        <v>843</v>
      </c>
      <c r="I10" s="7" t="s">
        <v>844</v>
      </c>
      <c r="J10" s="7" t="s">
        <v>845</v>
      </c>
      <c r="K10" s="7" t="s">
        <v>846</v>
      </c>
      <c r="L10" s="7" t="s">
        <v>801</v>
      </c>
    </row>
    <row r="11" ht="42" customHeight="1" spans="1:12">
      <c r="A11" s="7" t="s">
        <v>847</v>
      </c>
      <c r="B11" s="7" t="s">
        <v>848</v>
      </c>
      <c r="C11" s="7" t="s">
        <v>849</v>
      </c>
      <c r="D11" s="7" t="s">
        <v>850</v>
      </c>
      <c r="E11" s="7" t="s">
        <v>851</v>
      </c>
      <c r="F11" s="7" t="s">
        <v>852</v>
      </c>
      <c r="G11" s="7" t="s">
        <v>853</v>
      </c>
      <c r="H11" s="7" t="s">
        <v>854</v>
      </c>
      <c r="I11" s="7" t="s">
        <v>855</v>
      </c>
      <c r="J11" s="7" t="s">
        <v>856</v>
      </c>
      <c r="K11" s="7" t="s">
        <v>857</v>
      </c>
      <c r="L11" s="7" t="s">
        <v>801</v>
      </c>
    </row>
    <row r="12" ht="42" customHeight="1" spans="1:12">
      <c r="A12" s="7" t="s">
        <v>858</v>
      </c>
      <c r="B12" s="7" t="s">
        <v>859</v>
      </c>
      <c r="C12" s="7" t="s">
        <v>860</v>
      </c>
      <c r="D12" s="7" t="s">
        <v>861</v>
      </c>
      <c r="E12" s="7" t="s">
        <v>829</v>
      </c>
      <c r="F12" s="7" t="s">
        <v>862</v>
      </c>
      <c r="G12" s="7" t="s">
        <v>863</v>
      </c>
      <c r="H12" s="7" t="s">
        <v>864</v>
      </c>
      <c r="I12" s="7" t="s">
        <v>865</v>
      </c>
      <c r="J12" s="7" t="s">
        <v>866</v>
      </c>
      <c r="K12" s="7" t="s">
        <v>862</v>
      </c>
      <c r="L12" s="7" t="s">
        <v>801</v>
      </c>
    </row>
    <row r="13" ht="42" customHeight="1" spans="1:12">
      <c r="A13" s="7" t="s">
        <v>867</v>
      </c>
      <c r="B13" s="7" t="s">
        <v>868</v>
      </c>
      <c r="C13" s="7" t="s">
        <v>869</v>
      </c>
      <c r="D13" s="7" t="s">
        <v>870</v>
      </c>
      <c r="E13" s="7" t="s">
        <v>871</v>
      </c>
      <c r="F13" s="7" t="s">
        <v>872</v>
      </c>
      <c r="G13" s="7" t="s">
        <v>873</v>
      </c>
      <c r="H13" s="7" t="s">
        <v>874</v>
      </c>
      <c r="I13" s="7" t="s">
        <v>875</v>
      </c>
      <c r="J13" s="7" t="s">
        <v>876</v>
      </c>
      <c r="K13" s="7" t="s">
        <v>723</v>
      </c>
      <c r="L13" s="7" t="s">
        <v>877</v>
      </c>
    </row>
  </sheetData>
  <mergeCells count="2">
    <mergeCell ref="A1:L1"/>
    <mergeCell ref="A2:L2"/>
  </mergeCells>
  <pageMargins left="0.7" right="0.7" top="0.75" bottom="0.75" header="0.3" footer="0.3"/>
  <headerFooter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showGridLines="0" tabSelected="1" workbookViewId="0">
      <selection activeCell="B29" sqref="B29"/>
    </sheetView>
  </sheetViews>
  <sheetFormatPr defaultColWidth="9" defaultRowHeight="14" outlineLevelCol="5"/>
  <cols>
    <col min="1" max="1" width="18" customWidth="1"/>
    <col min="2" max="2" width="10" customWidth="1"/>
    <col min="3" max="3" width="30" customWidth="1"/>
    <col min="4" max="4" width="44" customWidth="1"/>
    <col min="5" max="5" width="36" customWidth="1"/>
    <col min="6" max="6" width="18" customWidth="1"/>
  </cols>
  <sheetData>
    <row r="1" ht="30" customHeight="1" spans="1:6">
      <c r="A1" s="1" t="s">
        <v>878</v>
      </c>
      <c r="B1" s="1"/>
      <c r="C1" s="1"/>
      <c r="D1" s="1"/>
      <c r="E1" s="1"/>
      <c r="F1" s="1"/>
    </row>
    <row r="2" ht="22" customHeight="1" spans="1:6">
      <c r="A2" s="2" t="s">
        <v>36</v>
      </c>
      <c r="B2" s="2"/>
      <c r="C2" s="2"/>
      <c r="D2" s="2"/>
      <c r="E2" s="2"/>
      <c r="F2" s="2"/>
    </row>
    <row r="4" ht="30" customHeight="1" spans="1:6">
      <c r="A4" s="3" t="s">
        <v>879</v>
      </c>
      <c r="B4" s="4" t="s">
        <v>880</v>
      </c>
      <c r="C4" s="4" t="s">
        <v>881</v>
      </c>
      <c r="D4" s="4" t="s">
        <v>882</v>
      </c>
      <c r="E4" s="4" t="s">
        <v>883</v>
      </c>
      <c r="F4" s="5" t="s">
        <v>8</v>
      </c>
    </row>
    <row r="5" ht="42" customHeight="1" spans="1:6">
      <c r="A5" s="6" t="s">
        <v>884</v>
      </c>
      <c r="B5" s="6" t="s">
        <v>4</v>
      </c>
      <c r="C5" s="6" t="s">
        <v>885</v>
      </c>
      <c r="D5" s="6" t="s">
        <v>886</v>
      </c>
      <c r="E5" s="6" t="s">
        <v>887</v>
      </c>
      <c r="F5" s="6" t="s">
        <v>63</v>
      </c>
    </row>
    <row r="6" ht="42" customHeight="1" spans="1:6">
      <c r="A6" s="7" t="s">
        <v>888</v>
      </c>
      <c r="B6" s="7" t="s">
        <v>4</v>
      </c>
      <c r="C6" s="7" t="s">
        <v>889</v>
      </c>
      <c r="D6" s="7" t="s">
        <v>890</v>
      </c>
      <c r="E6" s="7" t="s">
        <v>891</v>
      </c>
      <c r="F6" s="7" t="s">
        <v>63</v>
      </c>
    </row>
    <row r="7" ht="42" customHeight="1" spans="1:6">
      <c r="A7" s="7" t="s">
        <v>892</v>
      </c>
      <c r="B7" s="7" t="s">
        <v>4</v>
      </c>
      <c r="C7" s="7" t="s">
        <v>893</v>
      </c>
      <c r="D7" s="7" t="s">
        <v>894</v>
      </c>
      <c r="E7" s="7" t="s">
        <v>895</v>
      </c>
      <c r="F7" s="7" t="s">
        <v>63</v>
      </c>
    </row>
    <row r="8" ht="42" customHeight="1" spans="1:6">
      <c r="A8" s="7" t="s">
        <v>896</v>
      </c>
      <c r="B8" s="7" t="s">
        <v>4</v>
      </c>
      <c r="C8" s="7" t="s">
        <v>897</v>
      </c>
      <c r="D8" s="7" t="s">
        <v>898</v>
      </c>
      <c r="E8" s="7" t="s">
        <v>899</v>
      </c>
      <c r="F8" s="7" t="s">
        <v>63</v>
      </c>
    </row>
    <row r="9" ht="42" customHeight="1" spans="1:6">
      <c r="A9" s="7" t="s">
        <v>900</v>
      </c>
      <c r="B9" s="7" t="s">
        <v>4</v>
      </c>
      <c r="C9" s="7" t="s">
        <v>901</v>
      </c>
      <c r="D9" s="7" t="s">
        <v>902</v>
      </c>
      <c r="E9" s="7" t="s">
        <v>903</v>
      </c>
      <c r="F9" s="7" t="s">
        <v>63</v>
      </c>
    </row>
    <row r="10" ht="42" customHeight="1" spans="1:6">
      <c r="A10" s="7" t="s">
        <v>904</v>
      </c>
      <c r="B10" s="7" t="s">
        <v>5</v>
      </c>
      <c r="C10" s="7" t="s">
        <v>905</v>
      </c>
      <c r="D10" s="7" t="s">
        <v>906</v>
      </c>
      <c r="E10" s="7" t="s">
        <v>907</v>
      </c>
      <c r="F10" s="7" t="s">
        <v>63</v>
      </c>
    </row>
    <row r="11" ht="42" customHeight="1" spans="1:6">
      <c r="A11" s="7" t="s">
        <v>908</v>
      </c>
      <c r="B11" s="7" t="s">
        <v>4</v>
      </c>
      <c r="C11" s="7" t="s">
        <v>909</v>
      </c>
      <c r="D11" s="7" t="s">
        <v>910</v>
      </c>
      <c r="E11" s="7" t="s">
        <v>911</v>
      </c>
      <c r="F11" s="7" t="s">
        <v>63</v>
      </c>
    </row>
    <row r="12" ht="42" customHeight="1" spans="1:6">
      <c r="A12" s="7" t="s">
        <v>912</v>
      </c>
      <c r="B12" s="7" t="s">
        <v>4</v>
      </c>
      <c r="C12" s="7" t="s">
        <v>913</v>
      </c>
      <c r="D12" s="7" t="s">
        <v>914</v>
      </c>
      <c r="E12" s="7" t="s">
        <v>915</v>
      </c>
      <c r="F12" s="7" t="s">
        <v>189</v>
      </c>
    </row>
    <row r="13" ht="42" customHeight="1" spans="1:6">
      <c r="A13" s="7" t="s">
        <v>916</v>
      </c>
      <c r="B13" s="7" t="s">
        <v>4</v>
      </c>
      <c r="C13" s="7" t="s">
        <v>917</v>
      </c>
      <c r="D13" s="7" t="s">
        <v>918</v>
      </c>
      <c r="E13" s="7" t="s">
        <v>919</v>
      </c>
      <c r="F13" s="7" t="s">
        <v>63</v>
      </c>
    </row>
    <row r="14" ht="42" customHeight="1" spans="1:6">
      <c r="A14" s="7" t="s">
        <v>920</v>
      </c>
      <c r="B14" s="7" t="s">
        <v>5</v>
      </c>
      <c r="C14" s="7" t="s">
        <v>921</v>
      </c>
      <c r="D14" s="7" t="s">
        <v>922</v>
      </c>
      <c r="E14" s="7" t="s">
        <v>923</v>
      </c>
      <c r="F14" s="7" t="s">
        <v>63</v>
      </c>
    </row>
    <row r="15" ht="42" customHeight="1" spans="1:6">
      <c r="A15" s="7" t="s">
        <v>924</v>
      </c>
      <c r="B15" s="7" t="s">
        <v>5</v>
      </c>
      <c r="C15" s="7" t="s">
        <v>925</v>
      </c>
      <c r="D15" s="7" t="s">
        <v>926</v>
      </c>
      <c r="E15" s="7" t="s">
        <v>927</v>
      </c>
      <c r="F15" s="7" t="s">
        <v>63</v>
      </c>
    </row>
    <row r="16" ht="42" customHeight="1" spans="1:6">
      <c r="A16" s="7" t="s">
        <v>928</v>
      </c>
      <c r="B16" s="7" t="s">
        <v>5</v>
      </c>
      <c r="C16" s="7" t="s">
        <v>929</v>
      </c>
      <c r="D16" s="7" t="s">
        <v>930</v>
      </c>
      <c r="E16" s="7" t="s">
        <v>931</v>
      </c>
      <c r="F16" s="7" t="s">
        <v>72</v>
      </c>
    </row>
    <row r="17" ht="42" customHeight="1" spans="1:6">
      <c r="A17" s="7" t="s">
        <v>932</v>
      </c>
      <c r="B17" s="7" t="s">
        <v>5</v>
      </c>
      <c r="C17" s="7" t="s">
        <v>933</v>
      </c>
      <c r="D17" s="7" t="s">
        <v>934</v>
      </c>
      <c r="E17" s="7" t="s">
        <v>935</v>
      </c>
      <c r="F17" s="7" t="s">
        <v>72</v>
      </c>
    </row>
    <row r="18" ht="42" customHeight="1" spans="1:6">
      <c r="A18" s="7" t="s">
        <v>936</v>
      </c>
      <c r="B18" s="7" t="s">
        <v>5</v>
      </c>
      <c r="C18" s="7" t="s">
        <v>937</v>
      </c>
      <c r="D18" s="7" t="s">
        <v>938</v>
      </c>
      <c r="E18" s="7" t="s">
        <v>939</v>
      </c>
      <c r="F18" s="7" t="s">
        <v>940</v>
      </c>
    </row>
  </sheetData>
  <mergeCells count="2">
    <mergeCell ref="A1:F1"/>
    <mergeCell ref="A2:F2"/>
  </mergeCells>
  <conditionalFormatting sqref="F5:F18">
    <cfRule type="containsText" dxfId="1" priority="1" operator="between" text="待">
      <formula>NOT(ISERROR(SEARCH("待",F5)))</formula>
    </cfRule>
  </conditionalFormatting>
  <dataValidations count="1">
    <dataValidation type="list" sqref="F5:F18">
      <formula1>"待主创确认,待外部回流,建议采用,已确认,修改后确认"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总览</vt:lpstr>
      <vt:lpstr>资产主表</vt:lpstr>
      <vt:lpstr>角色服装</vt:lpstr>
      <vt:lpstr>人物声音</vt:lpstr>
      <vt:lpstr>场景</vt:lpstr>
      <vt:lpstr>光影</vt:lpstr>
      <vt:lpstr>道具</vt:lpstr>
      <vt:lpstr>VFX群演文字</vt:lpstr>
      <vt:lpstr>声音母题</vt:lpstr>
      <vt:lpstr>连续性</vt:lpstr>
      <vt:lpstr>场景视图</vt:lpstr>
      <vt:lpstr>生产包</vt:lpstr>
      <vt:lpstr>主创确认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小虫（Evil）</cp:lastModifiedBy>
  <dcterms:created xsi:type="dcterms:W3CDTF">2026-07-12T14:48:52Z</dcterms:created>
  <dcterms:modified xsi:type="dcterms:W3CDTF">2026-07-13T01:47:16Z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A6CB63E181DA4D398994326ADA0090C8_12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